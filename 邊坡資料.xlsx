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邊坡資料" sheetId="1" r:id="rId5"/>
  </sheets>
  <definedNames/>
  <calcPr/>
</workbook>
</file>

<file path=xl/sharedStrings.xml><?xml version="1.0" encoding="utf-8"?>
<sst xmlns="http://schemas.openxmlformats.org/spreadsheetml/2006/main" count="2507" uniqueCount="830">
  <si>
    <t>邊坡狀態</t>
  </si>
  <si>
    <t>口卡編號</t>
  </si>
  <si>
    <t>區處</t>
  </si>
  <si>
    <t>工務段</t>
  </si>
  <si>
    <t>縣市</t>
  </si>
  <si>
    <t>鄉鎮市區</t>
  </si>
  <si>
    <t>路線</t>
  </si>
  <si>
    <t>里程樁號(起)</t>
  </si>
  <si>
    <t>里程樁號(迄)</t>
  </si>
  <si>
    <t>方向</t>
  </si>
  <si>
    <t>邊坡方向</t>
  </si>
  <si>
    <t>起點經度</t>
  </si>
  <si>
    <t>起點緯度</t>
  </si>
  <si>
    <t>迄點經度</t>
  </si>
  <si>
    <t>迄點緯度</t>
  </si>
  <si>
    <t>邊坡構造物</t>
  </si>
  <si>
    <t>監控等級</t>
  </si>
  <si>
    <t>坡向欄位</t>
  </si>
  <si>
    <t>坡高</t>
  </si>
  <si>
    <t>邊坡面寬</t>
  </si>
  <si>
    <t>坡度</t>
  </si>
  <si>
    <t>專案列管案件</t>
  </si>
  <si>
    <t>定性分級</t>
  </si>
  <si>
    <t>定量分級</t>
  </si>
  <si>
    <t>災害歷史</t>
  </si>
  <si>
    <t>資料建立日期</t>
  </si>
  <si>
    <t>地調所圖資分類</t>
  </si>
  <si>
    <t>邊坡安全狀態</t>
  </si>
  <si>
    <t>監測情形</t>
  </si>
  <si>
    <t>監測辦理方式</t>
  </si>
  <si>
    <t>附近地名</t>
  </si>
  <si>
    <t>現地狀況描述</t>
  </si>
  <si>
    <t>地圖定位</t>
  </si>
  <si>
    <t>巡視照片</t>
  </si>
  <si>
    <t>對應雨量站</t>
  </si>
  <si>
    <t>最近更新時間</t>
  </si>
  <si>
    <t>鎖定管理中</t>
  </si>
  <si>
    <t>0202EX-008600-A0-00-00000</t>
  </si>
  <si>
    <t>東區養護工程分局</t>
  </si>
  <si>
    <t>南澳工務段</t>
  </si>
  <si>
    <t>宜蘭縣</t>
  </si>
  <si>
    <t>蘇澳鎮</t>
  </si>
  <si>
    <t>台2戊線</t>
  </si>
  <si>
    <t>8k+600</t>
  </si>
  <si>
    <t>8k+800</t>
  </si>
  <si>
    <t>順樁</t>
  </si>
  <si>
    <t>上邊坡</t>
  </si>
  <si>
    <t>岩(地)錨(格梁)</t>
  </si>
  <si>
    <t>非重點監控路段</t>
  </si>
  <si>
    <t>省道邊坡地錨功能檢測分級暨設施補強計畫</t>
  </si>
  <si>
    <t>D</t>
  </si>
  <si>
    <t>無</t>
  </si>
  <si>
    <t>103/09</t>
  </si>
  <si>
    <t>隘丁</t>
  </si>
  <si>
    <t>1.本案為道路拓寬後，施設地錨，非災害工程。傾斜儀、水位計、傾斜觀測管已於103年9月解除。 2.地錨162支</t>
  </si>
  <si>
    <t>2026/5/20 上午 11:34:40</t>
  </si>
  <si>
    <t>0202EX-008900-D0-00-00000</t>
  </si>
  <si>
    <t>8k+900</t>
  </si>
  <si>
    <t>9k+400</t>
  </si>
  <si>
    <t>逆樁</t>
  </si>
  <si>
    <t>自然邊坡,RC擋土牆</t>
  </si>
  <si>
    <t>活動斷層地質敏感區</t>
  </si>
  <si>
    <t>蘇澳</t>
  </si>
  <si>
    <t>岩屑崩滑高敏感區(8K+020~8K+480)。邊坡無明顯不穩定徵兆。</t>
  </si>
  <si>
    <t>2026/5/20 上午 10:37:45</t>
  </si>
  <si>
    <t>0202EX-012150-A0-00-00000</t>
  </si>
  <si>
    <t>12k+150</t>
  </si>
  <si>
    <t>12k+250</t>
  </si>
  <si>
    <t>自然邊坡,其他:型框植生、縱洩溝</t>
  </si>
  <si>
    <t>西</t>
  </si>
  <si>
    <t>C</t>
  </si>
  <si>
    <t>11012豪雨災害</t>
  </si>
  <si>
    <t>山崩與地滑地質敏感區</t>
  </si>
  <si>
    <t>南方澳</t>
  </si>
  <si>
    <t>110年12月13日豪雨災害，12K+200處上邊坡土石崩落，進行型框植生及縱洩溝，於111年3月施作竣事。(災害編號：111-04-B01)</t>
  </si>
  <si>
    <t>2026/5/20 上午 10:40:12</t>
  </si>
  <si>
    <t>0202X-167450-D0-00-00000</t>
  </si>
  <si>
    <t>台2線</t>
  </si>
  <si>
    <t>167k+450</t>
  </si>
  <si>
    <t>167k+550</t>
  </si>
  <si>
    <t>自然邊坡,預力地錨RC(排樁)擋土牆</t>
  </si>
  <si>
    <t>北</t>
  </si>
  <si>
    <t>不可考</t>
  </si>
  <si>
    <t>112/08/31</t>
  </si>
  <si>
    <t>台2線167K+450~167K+550逆樁地錨邊坡列管</t>
  </si>
  <si>
    <t>467060</t>
  </si>
  <si>
    <t>2026/5/20 上午 10:43:08</t>
  </si>
  <si>
    <t>0209DX-001950-A0-00-00000</t>
  </si>
  <si>
    <t>台9丁線</t>
  </si>
  <si>
    <t>1k+950</t>
  </si>
  <si>
    <t>2k+450</t>
  </si>
  <si>
    <t>自然邊坡,噴凝土護坡,其他:型框植生、砌石擋土牆</t>
  </si>
  <si>
    <t>1級</t>
  </si>
  <si>
    <t>1.108年3月豪雨災害</t>
  </si>
  <si>
    <t>108/03(概估)</t>
  </si>
  <si>
    <t>岩屑崩滑高敏感區：104K+750~105K+250。 邊坡無明顯不穩定徵兆。</t>
  </si>
  <si>
    <t>C1U840</t>
  </si>
  <si>
    <t>2026/5/20 上午 10:43:35</t>
  </si>
  <si>
    <t>0209DX-002500-D0-00-00000</t>
  </si>
  <si>
    <t>2k+500</t>
  </si>
  <si>
    <t>3k+100</t>
  </si>
  <si>
    <t>下邊坡</t>
  </si>
  <si>
    <t>自然邊坡,RC擋土牆,其他:型框植生</t>
  </si>
  <si>
    <t>東</t>
  </si>
  <si>
    <t>11101豪雨災害 ------------------- 113.11.19天兔颱風</t>
  </si>
  <si>
    <t>111/05/17</t>
  </si>
  <si>
    <t>其他</t>
  </si>
  <si>
    <t>災害與時間：111.01.23豪雨災害 災點：3K+030下邊坡 災害編號：111-04-B04 施作項目：刷坡748m2、型框植生646m2、縱洩(橫截)溝101m2 開始施作時間：111.01 完成施作時間：111.04 ---------------------------------------------------- 災害與時間：113.11.19 災點：台9丁2.5k土石崩落 災害編號：114-04-B12 施作項目：擋土牆 開始施作時間：114.1.10 完成施作時間：114.5.14</t>
  </si>
  <si>
    <t>2026/5/20 上午 10:44:07</t>
  </si>
  <si>
    <t>0209DX-002700-A0-00-00000</t>
  </si>
  <si>
    <t>2k+700</t>
  </si>
  <si>
    <t>4k+600</t>
  </si>
  <si>
    <t>自然邊坡,RC格框(格子梁),其他:縱洩溝、型框植生、掛網</t>
  </si>
  <si>
    <t>1.10503自然災害 2.11010豪雨災害 3.11202豪雨災害 4.1130930山陀兒颱風 5.1131031康芮颱風</t>
  </si>
  <si>
    <t>106/04</t>
  </si>
  <si>
    <t>岩屑崩滑高敏感區(105K+950-107K+100)。順向坡(105K+980-106K+050)。山崩與地滑地質敏感區(106K+100-106K+800)。 --------------------------------------------------------------- 已納入105年3月自然災害(107.01-107.09)邊坡於106年4月修復完成。 災害與時間：105.3豪雨災害 災點：(舊樁號107K+010~177K+600) 災害編號：105-04-B23 已修復竣事 --------------------------------------------------------------- 災害與時間：110.10.13豪雨災害 災點：4K+250上邊坡 災害編號：110-04-B37 施作項目：刷坡1130m2、掛網及錨筋灌漿1130m2 開始施作時間：110.10 完成施作時間：111.03 --------------------------------------------------------------- 災害與時間：112.02.08豪雨災害 災點：4K+500上邊坡 災害編號：112-04-B09 施作項目：刷坡1000m2、型框植生1000m2 開始施作時間：112.04 完成施作時間：112.07 延至4K+600匡列災點</t>
  </si>
  <si>
    <t>2026/5/20 上午 11:14:05</t>
  </si>
  <si>
    <t>0209DX-003600-D0-00-00000</t>
  </si>
  <si>
    <t>3k+600</t>
  </si>
  <si>
    <t>3k+620</t>
  </si>
  <si>
    <t>噴凝土護坡,RC格框(格子梁)</t>
  </si>
  <si>
    <t>113.10.30 康芮颱風</t>
  </si>
  <si>
    <t>114/12/03</t>
  </si>
  <si>
    <t>---------------------------------------------------- 災害與時間：113.10.30 災點：台9丁線3k+620下邊坡 災害編號：114-04-B01 施作項目：型框植生及噴凝土護坡 開始施作時間：114.1.14 完成施作時間：114.5.14</t>
  </si>
  <si>
    <t>邊坡資料_Images/0209DX-003600-D0-00-00000.巡視照片.081146.jpg</t>
  </si>
  <si>
    <t>2026/5/20 上午 11:14:31</t>
  </si>
  <si>
    <t>0209DX-004200-D0-00-00000</t>
  </si>
  <si>
    <t>4k+200</t>
  </si>
  <si>
    <t>RC格框(格子梁)</t>
  </si>
  <si>
    <t>113.9.30 山陀兒颱風</t>
  </si>
  <si>
    <t>---------------------------------------------------- 災害與時間：113.9.30 災點：台9丁線4k+200下邊坡 災害編號：113-04-B39 施作項目：型框植生 開始施作時間：114.6.2 完成施作時間：114.10.3</t>
  </si>
  <si>
    <t>邊坡資料_Images/0209DX-004200-D0-00-00000.巡視照片.073104.jpg</t>
  </si>
  <si>
    <t>2026/5/20 上午 11:21:40</t>
  </si>
  <si>
    <t>0209DX-004800-A0-00-00000</t>
  </si>
  <si>
    <t>4k+800</t>
  </si>
  <si>
    <t>5k+400</t>
  </si>
  <si>
    <t>自然邊坡,RC格框(格子梁),RC擋土牆,其他:型框植生、縱洩溝</t>
  </si>
  <si>
    <t>A</t>
  </si>
  <si>
    <t>第2級</t>
  </si>
  <si>
    <t>10503自然災害 1140330豪雨災害</t>
  </si>
  <si>
    <t>岩屑崩滑高敏感區(107K+600-108K+200)。山崩與地滑地質敏感區(107K+600-108K+000)。 已納入105年3月自然災害(107.81K-107.84K)於106年4月邊坡修復完成。 --------------------------------------------------------------- ---------------------------------------------------- 災害與時間：114.3.30 災點：台9丁5.2k 災害編號：114-04-B29 施作項目：型框植生 開始施作時間：114.1.25 完成施作時間：114.5.14</t>
  </si>
  <si>
    <t>2026/5/20 下午 03:04:56</t>
  </si>
  <si>
    <t>0209DX-005600-A0-00-00000</t>
  </si>
  <si>
    <t>5k+600</t>
  </si>
  <si>
    <t>7k+120</t>
  </si>
  <si>
    <t>自然邊坡,噴凝土護坡,RC格框(格子梁),RC擋土牆,其他:型框植生、縱洩溝、砌石擋土牆、掛網</t>
  </si>
  <si>
    <t>10804豪雨災害 114年11月鳳凰颱風豪雨災害</t>
  </si>
  <si>
    <t>108/11</t>
  </si>
  <si>
    <t>山崩與地滑地質敏感區(108K+400~108K+600，108K+900~109K+300)。)。岩屑崩滑高敏感區(108K+480~109K+920)。落石高敏感區(108K+980~109K+280)。 邊坡無明顯不穩定徵兆。 --------------------------------------------------------------- 災害與時間：108.4.26豪雨災害 災點：6K+065、6K+160上邊坡 災害編號：108-04-B19 施作項目：縱洩溝100M2、邊坡掛網及錨筋灌漿420M2 --------------------------------------------------------------- 災害與時間：114年11月鳳凰颱風豪雨災害 災點：台9丁線5k+600上邊坡 災害編號：115-04-B01 施作項目：型框植生187m2 施作時間: 115.1.10 完成時間:115.3.5</t>
  </si>
  <si>
    <t>2026/5/19 下午 03:57:47</t>
  </si>
  <si>
    <t>0209DX-006680-D0-00-00000</t>
  </si>
  <si>
    <t>6k+680</t>
  </si>
  <si>
    <t>7k+650</t>
  </si>
  <si>
    <t>自然邊坡,RC格框(格子梁),RC擋土牆,其他:框型植生、縱洩溝、掛網</t>
  </si>
  <si>
    <t>1.10610豪雨災害 2.10711豪雨災害 3.11010豪雨災害 4.1131031康芮颱風 5.1131119天兔颱風</t>
  </si>
  <si>
    <t>106/10(概估)</t>
  </si>
  <si>
    <t>-------------------------------------------------------------- 106年10月11日豪雨災害(110K+050、110K+250) 災害編號：106-04-B25 -------------------------------------------------------------- 107年11月09日豪雨災害(台9丁線7k+100)路側邊坡坍滑，擬進行錨錠混凝土框製作。災害編號:107-04-B43 -------------------------------------------------------------- 110年10月13日豪雨災害，6K+970處上邊坡土石崩落，進行掛網及錨筋灌漿，於111年2月施作竣事。(災害編號：110-04-B37) --------------------------------------------------------------- 113年10月31日康芮颱風，6K+970處上邊坡土石崩落(重複致災)，進行掛網及錨筋灌漿，於114年11月17日施作竣事(詳附件4)。(災害編號：113-04-B01) --------------------------------------------------------------- 113年11月19日天兔颱風，7K+150處上邊坡土石崩落，進行掛網及錨筋灌漿，於114年11月15日施作竣事(詳附件5)。(災害編號：114-04-B02)</t>
  </si>
  <si>
    <t>2026/5/20 下午 03:06:06</t>
  </si>
  <si>
    <t>0209DX-007650-D0-00-00000</t>
  </si>
  <si>
    <t>8k+000</t>
  </si>
  <si>
    <t>自然邊坡,RC格框(格子梁),其他:型框植生</t>
  </si>
  <si>
    <t>岩屑崩滑高敏感區(110K+510~110K+660)。山崩與地滑地質敏感區(110K+400~110K+800)。邊坡無明顯不穩定徵兆。</t>
  </si>
  <si>
    <t>2026/5/20 下午 03:06:44</t>
  </si>
  <si>
    <t>0209DX-008250-D0-00-00000</t>
  </si>
  <si>
    <t>8k+250</t>
  </si>
  <si>
    <t>8k+570</t>
  </si>
  <si>
    <t>自然邊坡,噴凝土護坡,RC格框(格子梁),其他:型框植生</t>
  </si>
  <si>
    <t>10712豪雨災害 10804坍方 11202豪雨災害</t>
  </si>
  <si>
    <t>107/12(概估)</t>
  </si>
  <si>
    <t>猴猴坑</t>
  </si>
  <si>
    <t>邊坡無明顯不穩定徵兆 -------------------------------------------------------------- 災害與時間：107.12.14豪雨災害 災點：8K+500上邊坡 災害編號：108-04-B02 施作項目：縱洩溝、噴凝土 完成施作時間：108.04 -------------------------------------------------------------- 災害與時間：118.04.26豪雨災害 災點：8K+321~330上邊坡 災害編號：108-04-B19 施作項目：縱洩溝330m2 已完成施作 -------------------------------------------------------------- 災害與時間：112.02.08豪雨災害 災點：8K+500上邊坡 災害編號：112-04-B09 施作項目：刷坡1500m2、型框植生1500m2 開始施作時間：112.04 完成施作時間：112.06</t>
  </si>
  <si>
    <t>2026/5/20 下午 03:09:51</t>
  </si>
  <si>
    <t>0209DX-008600-A0-00-00000</t>
  </si>
  <si>
    <t>9k+200</t>
  </si>
  <si>
    <t>自然邊坡,RC擋土牆,其他:型框植生、縱洩溝、砌石擋土牆、掛網</t>
  </si>
  <si>
    <t>第4級</t>
  </si>
  <si>
    <t>10503自然災害 1130724凱米颱風 114年鳳凰颱風</t>
  </si>
  <si>
    <t>山崩與地滑地質敏感區(111K+400~114K+000)。岩屑崩滑高敏感區(111K+500~111K+970)。 ---------------------------------------------------- 災害與時間：105年3月自然災害 災點：(115K+020~115K+045上邊坡) 災害編號：105-04-B23 施作項目：掛網 開始施作時間： 完成施作時間：106年4月 ---------------------------------------------------- 災害與時間：113.07.24凱米颱風 災點：8K+900 災害編號：113-04-B31 施作項目：縱洩溝3500M2 開始施作時間：113.09 完成施作時間：113.12 ---------------------------------------------------- 災害與時間：114.11年鳳凰颱風 災點：8K+800 災害編號：115-04-A03 施作項目：錨錠混凝土框製作及噴植生基材及PC縱、橫洩溝、瀝青鋪設372m 開始施作時間：115.1 完成施作時間：115.12</t>
  </si>
  <si>
    <t>邊坡資料_Images/0209DX-008600-A0-00-00000.巡視照片.060351.jpg</t>
  </si>
  <si>
    <t>2026/5/20 下午 03:08:05</t>
  </si>
  <si>
    <t>0209DX-008840-D0-00-00000</t>
  </si>
  <si>
    <t>8k+840</t>
  </si>
  <si>
    <t>9k+000</t>
  </si>
  <si>
    <t>自然邊坡,岩(地)錨(格梁),預力地錨RC(排樁)擋土牆,其他:微型樁擋土牆</t>
  </si>
  <si>
    <t>東南</t>
  </si>
  <si>
    <t>10912豪雨災害 11208豪雨災害 114年11月鳳凰颱風豪雨災害</t>
  </si>
  <si>
    <t>109/12</t>
  </si>
  <si>
    <t>--------------------------------------------------------- 災害與時間：109.12.23豪雨災害 災點：8K+870、8K+970下邊坡 災害編號：110-04-B11 施作項目：微型樁加擋土牆 完成施作時間：110.11 --------------------------------------------------------- 災害與時間：112.8.17豪雨災害 災點：8K+900下邊坡 災害編號：112-04-B31 施作項目：張力開列固結灌漿 開始施作時間：112.10 完成施作時間：113.10 --------------------------------------------------------- 災害與時間：114年11月鳳凰颱風豪雨災害 災點：8K+900下邊坡 災害編號：115-04-A08 施作項目：格梁護坡、下邊坡全套管基樁、預力地錨 預定開始施作時間：115.11 完成施作時間：</t>
  </si>
  <si>
    <t>2026/5/20 下午 03:22:15</t>
  </si>
  <si>
    <t>0209DX-009200-A0-00-00000</t>
  </si>
  <si>
    <t>10k+170</t>
  </si>
  <si>
    <t>自然邊坡,防石柵,RC格框(格子梁),RC擋土牆,其他:掛網、明隧道、砌石擋土牆</t>
  </si>
  <si>
    <t>東北</t>
  </si>
  <si>
    <t>106年5月28日坍方 107年07月16日豪雨災害 107年11月09日豪雨災害 107年12月29日豪雨災害 108.04.16豪雨災害 109年7月1日自然災害 1130724凱米颱風 114年11月鳳凰颱風豪雨災害</t>
  </si>
  <si>
    <t>106/03(概估)</t>
  </si>
  <si>
    <t>九宮里</t>
  </si>
  <si>
    <t>山崩與地滑地質敏感區(111K+400~114K+000)。岩屑崩滑高敏感區(112K+050-112K+470)。落石高敏感區(112K+350-112K+950)。 ---------------------------------------------------- 災害與時間： 災點：113K+300上邊坡 開始施作時間：106.02 完成施作時間：106.03 ---------------------------------------------------- 災害與時間：106年5月28日坍方 災點：(112K+600)上邊坡 災害編號：106-04-A06 、106-04-A07 ---------------------------------------------------- 災害與時間：107年07月16日豪雨災害 災點：10K+100上邊坡、9K+800上邊坡 災害編號：107-04-B27 施作項目：掛網及錨筋灌漿、防落石柵 ---------------------------------------------------- 災害與時間：107年11月09日豪雨災害 災點：9K+800邊溝 災害編號：107-04-B43 施作項目：邊溝修復 ---------------------------------------------------- 災害與時間：107年12月29日豪雨災害 災點：9K+300上邊坡 災害編號：108-04-B05 施作項目：掛網及錨筋灌漿 完成施作時間：108.04 ---------------------------------------------------- 災害與時間：108.04.16豪雨災害 災點：9k+300~9k+311下邊坡 災害編號：108-04-B19 施作項目：縱洩溝 ---------------------------------------------------- 災害與時間：109年7月1日自然災害 災點：10K+020上邊坡 災害編號：109-04-B13 施作項目：邊坡掛網 開始施作時間：109.09 完成施作時間：109.11 ---------------------------------------------------- 災害與時間：113.07.24凱米颱風 災點：9K+500上邊坡 災害編號：113-04-A22 施作項目：刷坡7175m2、縱洩溝3775M2、掛網3200m2 開始施作時間：113.09 完成施作時間：114.8.24 ---------------------------------------------------- 災害與時間：114年11月鳳凰颱風豪雨災害 災點：9K+500上邊坡 災害編號：115-04-A08 施作項目：型框植生 預定開始施作時間：115.11 預定完成施作時間：</t>
  </si>
  <si>
    <t>2026/5/26 上午 10:32:30</t>
  </si>
  <si>
    <t>0209DX-010005-D0-00-00000</t>
  </si>
  <si>
    <t>10k+005</t>
  </si>
  <si>
    <t>10k+037</t>
  </si>
  <si>
    <t>1.98年12月豪雨災害</t>
  </si>
  <si>
    <t>098/12</t>
  </si>
  <si>
    <t>邊坡無明顯不穩定徵兆。地錨荷重計、地錨內視鏡已解除。</t>
  </si>
  <si>
    <t>2026/5/25 上午 08:59:50</t>
  </si>
  <si>
    <t>0209DX-010123-D0-00-00000</t>
  </si>
  <si>
    <t>10k+123</t>
  </si>
  <si>
    <t>10k+153</t>
  </si>
  <si>
    <t>自然邊坡,噴凝土護坡,預力地錨RC(排樁)擋土牆,其他:貨櫃工法地錨噴凝土</t>
  </si>
  <si>
    <t>邊坡無明顯不穩定徵兆</t>
  </si>
  <si>
    <t>2026/5/20 下午 03:23:44</t>
  </si>
  <si>
    <t>0209DX-010170-A0-00-00000</t>
  </si>
  <si>
    <t>11k+350</t>
  </si>
  <si>
    <t>自然邊坡,防石柵,噴凝土護坡,RC格框(格子梁),RC擋土牆,其他:縱洩溝、型框植生、攔砂壩、明隧道、砌石擋土牆</t>
  </si>
  <si>
    <t>10509梅姬風災 10511豪雨災害 10603豪雨災害 10605坍方 10610豪雨災害 10912豪雨災害 11110豪雨災害 11304地震災害 114年11月鳳凰颱風豪雨災害</t>
  </si>
  <si>
    <t>106/10</t>
  </si>
  <si>
    <t>山崩與地滑地質敏感區,順向坡</t>
  </si>
  <si>
    <t>山崩與地滑地質敏感區(111K+400~114K+000)。岩屑崩滑高敏感區：112K+970-114K+020。 --------------------------------------------------------------- 災害與時間：105年9月梅姬風災 災點：(舊樁號114.03~114.05) ----------------------------------- 災害與時間：105年11月23日豪雨災害 災點：(舊樁號113K+350~400) 災害編號：105-04-B30 ------------------------------------------------------------- 災害與時間：106年3月份豪雨災害 災點：(舊樁號112K+300) 災害編號：105-04-B30 ------------------------------------------------------------ 災害與時間：106年5月28日坍方災害 災點：(舊樁號112K+600) 施作項目：噴凝土及邊坡防落石網 完成施作時間：107.12 ----------------------------------------------------------- 災害與時間：106年10月11日豪雨災害 災點：(舊樁號113K+130、113K+400、114K+070、141K+150) 災害編號：106-04-B25 --------------------------------------------------------------- 災害與時間：109.12.23豪雨災害 災點：11K+300上邊坡 災害編號：110-04-B11 施作項目：型框植生 完成施作時間：110.06 --------------------------------------------------------------- 災害與時間：111.10.10豪雨災害 災點：11K+200上邊坡 災害編號：111-04-B40 施作項目：型框植生612m2、縱洩(橫截)溝88m2 開始施作時間：111.11 完成施作時間：112.07 --------------------------------------------------------------- 災害與時間：113.04.03地震災害 災點：11K+150上邊坡 災害編號：113-04-B14 施作項目：刷坡1600m2、掛網及錨筋灌漿1600m2 開始施作時間：113.04 完成施作時間：113.10 --------------------------------------------------------------- 災害與時間：113.04.03地震災害 災點：11K+300上邊坡 災害編號：113-04-B14 施作項目：刷坡1500m2、型框植生1500m2 開始施作時間：113.04 完成施作時間：113.08 --------------------------------------------------------------- 災害與時間：114年11月鳳凰颱風豪雨災害 災點：10K+400上邊坡 災害編號：115-04-B01 施作項目：型框植生1211m2、懸眺步道修復135m 預定開始施作時間：115.06 預計完成施作時間：115.09</t>
  </si>
  <si>
    <t>2026/5/20 下午 03:24:36</t>
  </si>
  <si>
    <t>0209DX-010800-D0-00-00000</t>
  </si>
  <si>
    <t>10k+800</t>
  </si>
  <si>
    <t>11k+000</t>
  </si>
  <si>
    <t>自然邊坡,RC擋土牆,其他:微型樁</t>
  </si>
  <si>
    <t>10912豪雨災害</t>
  </si>
  <si>
    <t>110/06</t>
  </si>
  <si>
    <t>1. 邊坡有疑似不穩定徵兆 109年12月23日豪雨災害，造成下邊坡滑動，10.9k處路面下陷，擬設置微型樁加擋土牆，已於110年6月完工。 災害編號：110-04-B11 ----------------------------------------------------------------------- 2.邊坡現況良好115年1月滾動調整為D級。</t>
  </si>
  <si>
    <t>邊坡資料_Images/0209DX-010800-D0-00-00000.巡視照片.013701.jpg</t>
  </si>
  <si>
    <t>2026/5/20 下午 03:37:23</t>
  </si>
  <si>
    <t>0209DX-011200-D0-00-00000</t>
  </si>
  <si>
    <t>11k+200</t>
  </si>
  <si>
    <t>11k+600</t>
  </si>
  <si>
    <t>自然邊坡,RC擋土牆,其他:掛網、砌石擋土牆、型框植生</t>
  </si>
  <si>
    <t>106年12月2日豪雨災害 106年11月9日豪雨災害 107年11月9日豪雨災害 107年12月29日豪雨災害 107年12月14日豪雨災害 108年4月28日豪雨災害</t>
  </si>
  <si>
    <t>108/05</t>
  </si>
  <si>
    <t>山崩與地滑地質敏感區(111K+400~114K+000)。岩屑崩滑高敏感區(112K+050-112K+470)。落石高敏感區(112K+350-112K+950)。 ------------------------------------------------------------ 106年12月2日豪雨災害致114K+370下邊坡發生邊坡土石崩落，於107年完成。 災害編號 107-04-B04 ------------------------------------------------------------ 106年11月9日豪雨災害致114K+350發生邊坡土石崩落。 災害編號 106-04-B31 ------------------------------------------------------------ 107年11月9日豪雨災害造成11K+200下邊坡發生邊坡土石坍方已進行邊坡修復作業。上邊坡檔土牆護坡工程於108年4月完工。 ------------------------------------------------------------ 107年12月14日豪雨災害(台9丁線11K+200)路側沉陷，擬進行下邊坡擋土牆回填及邊坡掛網及錨筋灌漿，於108年5月完工。 災害編號108-04-B02 --------------------------------------------------------------------- 邊坡現況良好115年1月滾動調整為D級。</t>
  </si>
  <si>
    <t>2026/5/20 下午 03:39:22</t>
  </si>
  <si>
    <t>0209DX-011400-A0-00-00000</t>
  </si>
  <si>
    <t>11k+400</t>
  </si>
  <si>
    <t>12k+200</t>
  </si>
  <si>
    <t>自然邊坡,防石柵,RC擋土牆,其他:砌石擋土牆、掛網</t>
  </si>
  <si>
    <t>10612豪雨災害 10711豪雨災害 114年11月鳳凰颱風豪雨災害</t>
  </si>
  <si>
    <t>107/11(概估)</t>
  </si>
  <si>
    <t>山崩地滑地質敏感區(114K+200-117K+100)。 ------------------------------------------------------------ 106年12月2日豪雨災害致114K+370上邊坡發生邊坡土石崩落，以錨定混凝土植生工程於107年完成。 災害編號 107-04-A01 ------------------------------------------------------------ 107年11月09日豪雨災害(台9丁線11K+800)上邊坡坍方，擬進行邊坡掛網及錨筋灌漿。 災害編號:107-04-B43 ---------------------------------------------------------------- ---------------------------------------------------- 災害與時間：114年11月鳳凰颱風豪雨災害 災點：11k+400 災害編號：115-04-B01 施作項目：型框植生1351m2 預計開始施作時間：115.6.30 預計完成施作時間：115.8.30</t>
  </si>
  <si>
    <t>2026/5/20 下午 03:40:31</t>
  </si>
  <si>
    <t>0209DX-012200-A0-00-00000</t>
  </si>
  <si>
    <t>13k+200</t>
  </si>
  <si>
    <t>自然邊坡,防石柵,噴凝土護坡,RC格框(格子梁),RC擋土牆,其他:框型植生、掛網、縱洩溝</t>
  </si>
  <si>
    <t>10503自然災害 1061011豪雨災害 1071109豪雨災害 1071114豪雨災害</t>
  </si>
  <si>
    <t>山崩與地滑地質敏感區(114K+200-117K+100)。岩屑崩滑高敏感區(115K+750~116K+000)。 --------------------------------------------------------------- 105年3月自然災害(115K+020)邊坡修復工程於106年4月完工。 災害編號:105-04-B23 --------------------------------------------------------------- 106年10月11日豪雨災害(115K+300-115K+328)。 災害編號:106-04-B25 --------------------------------------------------------------- 107年07月16日(台9丁線12K+500)上邊坡坍方，擬進行邊坡防落石柵工程。 災害編號:107-04-B27 --------------------------------------------------------------- 107年11月09日豪雨災害(台9丁線12K+500)路側擋土牆防落石柵損壞，擬進行修復。 災害編號:107-04-B43 --------------------------------------------------------------- 107年11月14日豪雨災害造成台9丁線12K+500上邊坡發生邊坡土石坍方已進行邊坡修復作業。上邊坡縱洩溝及噴凝土護坡工程於108年4月完工。 災害編號:107-04-B44 ---------------------------------------------------------------- 邊坡現況良好115年1月滾動調整為D級。</t>
  </si>
  <si>
    <t>邊坡資料_Images/0209DX-012200-A0-00-00000.巡視照片.013321.jpg</t>
  </si>
  <si>
    <t>2026/5/20 下午 03:41:12</t>
  </si>
  <si>
    <t>0209DX-013000-D0-00-00000</t>
  </si>
  <si>
    <t>13k+000</t>
  </si>
  <si>
    <t>自然邊坡,噴凝土護坡,RC格框(格子梁),岩(地)錨(格梁),其他:型框植生</t>
  </si>
  <si>
    <t>1.104年4月豪雨災害</t>
  </si>
  <si>
    <t>104/04(概估)</t>
  </si>
  <si>
    <t>邊坡無明顯不穩定徵兆。傾斜儀、水位計、傾斜觀測管已於104年4月解除。</t>
  </si>
  <si>
    <t>2026/5/20 下午 03:43:16</t>
  </si>
  <si>
    <t>0209DX-013200-A0-00-00000</t>
  </si>
  <si>
    <t>14k+300</t>
  </si>
  <si>
    <t>自然邊坡,RC格框(格子梁),RC擋土牆,其他:型框植生、掛網、波崁磚擋土牆</t>
  </si>
  <si>
    <t>第3級</t>
  </si>
  <si>
    <t>1.10602豪雨災害 2.1071109豪雨災害 3.1071214豪雨災害 4.1071229坍方 5.1090607大型落石 6.11006坍方 7.1100915豪雨災害 8.11202豪雨災害 9.1131031康芮颱風</t>
  </si>
  <si>
    <t>106/02</t>
  </si>
  <si>
    <t>石牌公</t>
  </si>
  <si>
    <t>1121023檢視發現邊坡範圍重複，將【台9丁線14K+000~14K+200】併入【台9丁線13K+200~14K+300】 ------------------------------------------------------------------ 山崩與地滑地質敏感區(114K+200~117K+100)。岩屑崩滑高敏感區(116K+780~116K+850)。邊坡無明顯不穩定徵兆。 ----------------------------------------------------------- 災害與時間：106年2月豪雨災害 災點：(舊樁號116K+500~116K+527)上邊坡 災害編號：1106-04-B06 已完成施作 ----------------------------------------------------------- 災害與時間：107.11.09豪雨災害 災點：13K+600上邊坡 災害編號：107-04-B43 施作項目：邊坡掛網及錨筋灌漿 完成施作時間：108.04 ----------------------------------------------------------- 災害與時間：107.12.14豪雨災害 災點：13K+650上邊坡 災害編號：108-04-B02 施作項目：掛網及錨筋灌漿 完成施作時間：108.04 ----------------------------------------------------------- 災害與時間：107.12.29豪雨災害 災點：14K+450上邊坡 災害編號：108-04-B05 施作項目：錨錠混凝土框 完成施作時間：108.05 ----------------------------------------------------------- 災害與時間：109.6.7豪雨災害 災點：13K+945上邊坡 災害編號：109-04-B12 施作項目：框型植生 完成施作時間：109.11 ----------------------------------------------------------- 災害與時間：110年6月豪雨災害 災點：14K+300上邊坡 災害編號：110-04-B20 施作項目：掛網護坡 開始施作時間：110.08 完成施作時間：110.08 ------------------------------------------------------------------ 災害與時間：110.09.15豪雨災害 災點：14K+100上邊坡 災害編號：110-04-B33 施作項目：掛網及錨筋灌漿3510m2 開始施作時間：111.10 完成施作時間：112.04 ----------------------------------------------------------- 災害與時間：112.02.08豪雨災害 災點：13K+600上邊坡 災害編號：112-04-B09 施作項目：刷坡1700m2、型框植生1700m2 開始施作時間：112.04 完成施作時間：112.07 ----------------------------------------------------------- 災害與時間：113.10.31康芮颱風 災點：13K+600上邊坡(重複致災) 災害編號：114-04-B01 施作項目：刷坡1400m2、型框植生1400m2 開始施作時間：114.02.10 完成施作時間：114.11.10 -----------------------------------------------------------------------</t>
  </si>
  <si>
    <t>2026/5/23 上午 10:06:39</t>
  </si>
  <si>
    <t>0209DX-013400-D0-00-00000</t>
  </si>
  <si>
    <t>13k+400</t>
  </si>
  <si>
    <t>13k+800</t>
  </si>
  <si>
    <t>自然邊坡,RC格框(格子梁),RC擋土牆,其他:掛網植生</t>
  </si>
  <si>
    <t>西南西</t>
  </si>
  <si>
    <t>1090220自然災害</t>
  </si>
  <si>
    <t>102/11</t>
  </si>
  <si>
    <t>邊坡無明顯不穩定徵兆 ----------------------------------------------------------- 109年2月20日(台9丁線13k+800)自然災害下邊坡坍方，進行擋土牆及噴凝土型框植生，於109年3月完工。災害編號109-04-B08 ----------------------------------------------------------- 邊坡現況良好115年1月滾動調整為D級。</t>
  </si>
  <si>
    <t>邊坡資料_Images/0209DX-013400-D0-00-00000.巡視照片.013019.jpg</t>
  </si>
  <si>
    <t>2026/1/15 下午 04:53:24</t>
  </si>
  <si>
    <t>0209DX-013902-D0-00-00000</t>
  </si>
  <si>
    <t>13k+902</t>
  </si>
  <si>
    <t>13k+977</t>
  </si>
  <si>
    <t>自然邊坡,RC格框(格子梁),RC擋土牆,預力地錨RC(排樁)擋土牆</t>
  </si>
  <si>
    <t>109年10月豪雨災害</t>
  </si>
  <si>
    <t>109/10(概估)</t>
  </si>
  <si>
    <t>109年10月豪雨災害，採錨拉式擋土牆修復 邊坡無明顯不穩定徵兆</t>
  </si>
  <si>
    <t>2026/5/20 下午 03:46:11</t>
  </si>
  <si>
    <t>0209DX-014150-D0-00-00000</t>
  </si>
  <si>
    <t>14k+150</t>
  </si>
  <si>
    <t>自然邊坡,RC格框(格子梁),其他:</t>
  </si>
  <si>
    <t>11006豪雨災害</t>
  </si>
  <si>
    <t>110/08/17</t>
  </si>
  <si>
    <t>110年6月豪雨災害，14K+250下邊坡出現蝕溝狀況，施做縱洩溝護坡(災編110-04-B20)，於110年8月開始施作，110年9月施作竣事。 ----------------------------------------------------------------------- 邊坡現況良好115年1月滾動調整為D級。</t>
  </si>
  <si>
    <t>邊坡資料_Images/0209DX-014150-D0-00-00000.巡視照片.012550.jpg</t>
  </si>
  <si>
    <t>2026/5/20 下午 03:46:54</t>
  </si>
  <si>
    <t>0209DX-014800-A0-00-00000</t>
  </si>
  <si>
    <t>14k+800</t>
  </si>
  <si>
    <t>15k+200</t>
  </si>
  <si>
    <t>自然邊坡,RC格框(格子梁),其他:型框植生、掛網</t>
  </si>
  <si>
    <t>10712坍方 11101豪雨災害</t>
  </si>
  <si>
    <t>105/01(概估)</t>
  </si>
  <si>
    <t>山崩與地滑地質敏感區(117K+700~118K+500)。邊坡無明顯不穩定徵兆。 ---------------------------------------------------------------- 107年12月14日(台9丁線14K+650)上邊坡坍方，進行邊坡掛網，已於108年5月完成。災害編號:108-04-B02 ---------------------------------------------------------------- 111年1月23日豪雨災害，15K+150處上邊坡土石崩落，施作型框植生及縱洩溝，於111年4月完成施作。(災害編號：111-04-B04)</t>
  </si>
  <si>
    <t>2026/5/20 下午 03:47:25</t>
  </si>
  <si>
    <t>0209DX-015100-D0-00-00000</t>
  </si>
  <si>
    <t>15k+100</t>
  </si>
  <si>
    <t>11103豪雨災害</t>
  </si>
  <si>
    <t>111/06/13</t>
  </si>
  <si>
    <t>東澳</t>
  </si>
  <si>
    <t>111年3月23日豪雨災害15.15K下邊坡發生土石坍滑，擬進行型框植生及縱洩溝。(災害編號:111-04-B13)，於111年4月開始施工，111年7月完成施作。</t>
  </si>
  <si>
    <t>2026/5/20 下午 03:49:13</t>
  </si>
  <si>
    <t>0209DX-015200-A0-00-00000</t>
  </si>
  <si>
    <t>15k+750</t>
  </si>
  <si>
    <t>自然邊坡,RC格框(格子梁),其他:型框植生、縱洩溝、掛網</t>
  </si>
  <si>
    <t>11010豪雨災害</t>
  </si>
  <si>
    <t>110年10月13日豪雨災害，15K+750處上邊坡土石崩落，進行掛網及錨筋灌漿，於111年2月施作竣事。(災害編號：110-04-B37) ----------------------------------------------------------------</t>
  </si>
  <si>
    <t>2026/5/20 下午 03:49:48</t>
  </si>
  <si>
    <t>0209DX-015600-D0-00-00000</t>
  </si>
  <si>
    <t>15k+600</t>
  </si>
  <si>
    <t>15k+800</t>
  </si>
  <si>
    <t>西南</t>
  </si>
  <si>
    <t>11107豪雨災害 11109豪雨災害</t>
  </si>
  <si>
    <t>111/09/22</t>
  </si>
  <si>
    <t>災害與時間：111.07.22豪雨災害 災點：15K+680下邊坡 災害編號：111-04-B25 施作項目：型框植生769m2、縱洩(橫截)溝55m、擋土牆40m2 開始施作時間：111.09 111.09.25擴災 災害編號：111-04-B32 完成施作時間：111.12</t>
  </si>
  <si>
    <t>2026/5/20 下午 03:50:32</t>
  </si>
  <si>
    <t>0209DX-016000-A0-00-00000</t>
  </si>
  <si>
    <t>16k+000</t>
  </si>
  <si>
    <t>16k+500</t>
  </si>
  <si>
    <t>113.10月康芮颱風</t>
  </si>
  <si>
    <t>---------------------------------------------------- 災害與時間：113.10月 災點：台9丁16k+000、16k+300 災害編號：114-04-B01 施作項目：型框植生 開始施作時間：114.9.6 完成施作時間：114.11.22</t>
  </si>
  <si>
    <t>2026/5/23 上午 10:04:43</t>
  </si>
  <si>
    <t>0209DX-029800-D0-00-00000</t>
  </si>
  <si>
    <t>南澳鄉</t>
  </si>
  <si>
    <t>29k+800</t>
  </si>
  <si>
    <t>30k+119</t>
  </si>
  <si>
    <t>南</t>
  </si>
  <si>
    <t>106年11月豪雨災害</t>
  </si>
  <si>
    <t>106/11(概估)</t>
  </si>
  <si>
    <t>武塔</t>
  </si>
  <si>
    <t>山崩與地滑地質敏感區(132K+400~132K+900)。 岩屑崩滑高敏感區(132K+330~132K+520)。 岩體滑動高敏感區(132K+550~132K+470)。 順向坡(132K+550~132K+850)。 邊坡無明顯不穩定徵兆。</t>
  </si>
  <si>
    <t>C0UA60</t>
  </si>
  <si>
    <t>2026/1/15 下午 04:57:03</t>
  </si>
  <si>
    <t>0209DX-030150-A0-00-00000</t>
  </si>
  <si>
    <t>30k+150</t>
  </si>
  <si>
    <t>30k+300</t>
  </si>
  <si>
    <t>自然邊坡,RC擋土牆,其他:掛網</t>
  </si>
  <si>
    <t>1111015豪雨災害</t>
  </si>
  <si>
    <t>111/11/10</t>
  </si>
  <si>
    <t>金岳</t>
  </si>
  <si>
    <t>--------------------------------------------------------------- 災害與時間：111.10.15豪雨災害 災點：30K+200上邊坡 災害編號：111-04-B45 施作項目：刷坡100m2、掛網及錨筋灌漿100m2 開始施作時間：111.11 完成施作時間：112.01</t>
  </si>
  <si>
    <t>2026/1/15 下午 01:53:51</t>
  </si>
  <si>
    <t>0209DX-030925-A0-00-00000</t>
  </si>
  <si>
    <t>30k+925</t>
  </si>
  <si>
    <t>31k+610</t>
  </si>
  <si>
    <t>自然邊坡,RC擋土牆,其他:砌石擋土牆</t>
  </si>
  <si>
    <t>山崩與地滑地質敏感區(133K+800~134K+400)。落石高敏感區(134K+000~134K+300)。</t>
  </si>
  <si>
    <t>2026/1/15 下午 04:44:43</t>
  </si>
  <si>
    <t>0209DX-032180-D0-00-00000</t>
  </si>
  <si>
    <t>32k+180</t>
  </si>
  <si>
    <t>33k+650</t>
  </si>
  <si>
    <t>自然邊坡,噴凝土護坡,其他:掛網、型框植生、縱洩溝</t>
  </si>
  <si>
    <t>10607一般災害 107年11月2日豪雨災害 108年9月30日一般災害(米塔颱風災害) 11010豪雨災害 11110豪雨災害</t>
  </si>
  <si>
    <t>106/02(概估)</t>
  </si>
  <si>
    <t>山崩與地滑地質敏感區(134K+900~136K+000)。落石高敏感區(134K+950~135K+ 480、135K+600~135K+750)。岩屑崩滑高敏感區(135K+520~136K+250)。 ----------------------------------------------------- 106年7月一般災害上邊坡發生坍方造成雙向道路阻斷，進行上邊坡噴凝土框植生護坡工程，於106年8月完工(135K+890~135K+920)。 ----------------------------------------------------- 107年11月2日豪雨災害造成135K+800上邊坡發生邊坡土石坍方已進行邊坡修復作業。上邊坡噴凝土框植生護坡工程於108年1月完工 災編: 107-04-B47 ----------------------------------------------------- 108年9月30日一般災害(米塔颱風災害)134K+980、135K+300、135K+580(台9丁線32.18K、32.5K、32.78K)上邊坡發生坍方，進行邊坡護坡工程(邊坡掛網及錨筋灌漿)於108年12月及1月完工。 災害編號: 108-04-B35 ----------------------------------------------------- 110年10月13日豪雨災害，32K+400處上邊坡土石崩落，施作縱洩溝，於111年3月開始施作。 災害編號：110-04-B36 --------------------------------------------------------------- 災害與時間：111.10.17豪雨災害 災點：32K+270上邊坡 災害編號：111-04-B45 施作項目：刷坡924m2、縱洩溝924m2 開始施作時間：111.11 完成施作時間：112.04 --------------------------------------------------------------- 災害與時間：111.10.17豪雨災害 災點：32K+520上邊坡 災害編號：111-04-B45 施作項目：刷坡384m2、縱洩溝 384m2 開始施作時間：111.11 完成施作時間：112.03 --------------------------------------------------------------- 災害與時間：111.10.17豪雨災害 災點：32K+380上邊坡 災害編號：111-04-B45 施作項目：刷坡200m2、掛網及錨筋灌漿200m2 開始施作時間：111.11 完成施作時間：112.01</t>
  </si>
  <si>
    <t>2026/1/15 下午 05:04:06</t>
  </si>
  <si>
    <t>0209DX-034250-D0-00-00000</t>
  </si>
  <si>
    <t>34k+250</t>
  </si>
  <si>
    <t>35k+000</t>
  </si>
  <si>
    <t>自然邊坡,RC擋土牆,其他:砌石擋土牆、型框植生</t>
  </si>
  <si>
    <t>106年10月11日豪雨災害 11010豪雨災害 11110豪雨災害</t>
  </si>
  <si>
    <t>108/07</t>
  </si>
  <si>
    <t>山崩與地滑地質敏感區(137K+100-137K+300)。 --------------------------------------------------------------- 106年10月11日豪雨災害(137K+100-137+800)，進行上邊坡行框植生工程於108年7月完工。 災害編號：106-04-B25 --------------------------------------------------------------- 110年10月13日豪雨災害，34K+250處上邊坡土石崩落，施作縱洩溝，於111年3月完成施作。(災害編號：110-04-B36) --------------------------------------------------------------- 災害與時間：111.10.17豪雨災害 災點：34K+800上邊坡 災害編號：111-04-B45 施作項目：型框植生846.8m2、縱洩(橫截)溝202m2 開始施作時間：111.11 完成施作時間：112.03</t>
  </si>
  <si>
    <t>2026/1/15 下午 05:04:19</t>
  </si>
  <si>
    <t>0209DX-035190-D0-00-00000</t>
  </si>
  <si>
    <t>35k+190</t>
  </si>
  <si>
    <t>37k+170</t>
  </si>
  <si>
    <t>自然邊坡,RC擋土牆,其他:型框植生、掛網、縱洩溝、堡崁磚擋土牆</t>
  </si>
  <si>
    <t>10409杜鵑風災 11010豪雨災害</t>
  </si>
  <si>
    <t>104/09(概估)</t>
  </si>
  <si>
    <t>咪咪樂</t>
  </si>
  <si>
    <t>岩屑崩滑高敏感區(138K+000~139K+970)。山崩與地滑地質敏感區(138K+200~138K+400、138K+600~139K+000)。 ------------------------------------------------------------- 104年9月杜鵑風災坍方阻斷已完工(139K+400)。 ------------------------------------------------------------- 110年10月13日豪雨災害造成36K+300上邊坡土石坍方，施作縱洩溝，於111年3月完成施作(災害編號：110-04-B36) -------------------------------------------------------------- 現場植生狀況良好，115年1月調降為D級。</t>
  </si>
  <si>
    <t>2026/1/15 下午 05:21:34</t>
  </si>
  <si>
    <t>0209DX-037170-A0-00-00000</t>
  </si>
  <si>
    <t>38k+000</t>
  </si>
  <si>
    <t>自然邊坡,噴凝土護坡,RC擋土牆,其他:框型植生、掛網</t>
  </si>
  <si>
    <t>第1級</t>
  </si>
  <si>
    <t>1051021豪雨災害 1070621豪雨災害 1080527豪雨災害 1091013豪雨災害 1091204豪雨災害 1100120豪雨災害 1120110豪雨災害 1140922樺加沙颱風</t>
  </si>
  <si>
    <t>109/12(概估)</t>
  </si>
  <si>
    <t>落石高敏感區(139K+950~140K+550)。山崩與地滑地質敏感區(139K+200-140K+700)。 已納入105年10月21日豪雨災害(140.16k、140.4k、140.65k)，災害編號：105-04-A07。 107年6月21日豪雨災害造成(140K+200~140K+600)上邊坡發生邊坡土石坍方已進行邊坡修復作業。上邊坡掛網及錨筋灌漿護坡工程於108年4月完工(災害編號:107-04-B23)。 108年5月27日豪雨災害造成140K+620、140K+700路段發生邊坡土石坍落及邊坡滑動災害，進行邊坡掛網工程於108年10月完工。(災害編號:108-04-B18)。 109年10月13日豪雨災害37K+900上邊坡發生坍方，施做邊坡掛網及錨筋灌漿及噴植基材，於110年3月完工。(災害編號:109-04-B22) 109年12月04日豪雨災害37K+230上邊坡岩體破裂崩落，施做型框植生900m2，於110年月完工。(災害編號:110-04-B04) --------------------------------------------------------------- 災害與時間：110.01.20豪雨災害 災點：37K+600上邊坡 災害編號：110-04-B12 已修復竣事 ----------------------------------------------------------- 災害與時間：112.1.10豪雨災害 災點：37K+450上邊坡 災害編號：112-04-B06 施作項目：刷坡775m2、掛網及錨筋灌漿775m2、縱洩(橫截)溝48.6m2 開始施作時間：112.1 完成施作時間：112.08 ---------------------------------------------------- 災害與時間：114.09.22 災點：台9丁線37.8k 災害編號：114-04-B64 施作項目：邊坡掛網 開始施作時間：114.11 完成施作時間：115.1.5</t>
  </si>
  <si>
    <t>C1U850</t>
  </si>
  <si>
    <t>2026/4/13 下午 01:32:10</t>
  </si>
  <si>
    <t>0209DX-037190-D0-00-00000</t>
  </si>
  <si>
    <t>37k+190</t>
  </si>
  <si>
    <t>37k+450</t>
  </si>
  <si>
    <t>自然邊坡,噴凝土護坡,RC擋土牆,其他:型框植生</t>
  </si>
  <si>
    <t>10503自然災害 10610豪雨災害 11110豪雨災害 1120110豪雨災害</t>
  </si>
  <si>
    <t>106/11</t>
  </si>
  <si>
    <t>山崩與地滑地質敏感區(139K+200-140K+700)。岩屑崩滑高敏感區(138K+000-139K+970)。 --------------------------------------------------------------- 105年3月自然災害(139.92)進行下邊坡保護工程。 災害編號：105-04-B23 --------------------------------------------------------------- 106年10月11日豪雨災害(139K+870-139K+960)。 災害編號：106-04-A10 --------------------------------------------------------------- 災害與時間：111.10.17豪雨災害 災點：37K+400下邊坡掏空 災害編號：111-04-B45 施作項目：擋土牆15.5m，路基及路面修復 開始施作時間：111.11 完成施作時間：111.12 備註：迄樁由37K+280展延至37K+450 ----------------------------------------------------------- 災害與時間：112.1.10豪雨災害 災點：37K+450下邊坡 災害編號：112-04-B06 施作項目：型框植生240m2、縱洩(橫截)溝240m2、紐澤西護欄補設26m 開始施作時間：112.1 完成施作時間：112.12</t>
  </si>
  <si>
    <t>2026/1/15 下午 05:22:13</t>
  </si>
  <si>
    <t>0209DX-038100-A0-00-00000</t>
  </si>
  <si>
    <t>38k+100</t>
  </si>
  <si>
    <t>39k+100</t>
  </si>
  <si>
    <t>自然邊坡,防石柵,噴凝土護坡,RC擋土牆,其他:掛網、明隧道、型框植生、縱洩溝</t>
  </si>
  <si>
    <t>1070924坍方 1091201豪雨災害 1100120豪雨災害 1111102豪雨災害 1140420大雨災害</t>
  </si>
  <si>
    <t>107/06</t>
  </si>
  <si>
    <t>山崩與地滑地質敏感區(140K+800~145K+200)落石高敏感區(141K+000-141K+700)。邊坡無明顯不穩定徵兆。 --------------------------------------------------------------- 107.09.24上邊坡發生坍方，進行上邊坡掛網及錨筋灌漿防護工程(141K+200~141K+300)。 災害編號 107-04-B35 --------------------------------------------------------------- 109年12月01日豪雨災害38K+350上邊坡岩體破裂崩落，施做噴凝土及縱洩溝共1200m2，於110年3月完工。 災害編號:110-04-B02 --------------------------------------------------------------- 災害與時間：110.01.20豪雨災害 災點：38K+450、38K+350上邊坡 災害編號：110-04-B12 已修復竣事 ----------------------------------------------------------------- 災害與時間：111.11.2豪雨災害 災點：39K+000上邊坡 災害編號：112-04-B02 施作項目：噴凝土1925m2 開始施作時間：112.1 完成施作時間：113.04 ---------------------------------------------------- 災害與時間：114.4.20 災點：38.6k 災害編號：114-04-B35 施作項目：邊坡掛網、噴凝土護坡 開始施作時間：114.6.25 完成施作時間：114.9.25</t>
  </si>
  <si>
    <t>2026/4/13 下午 02:04:23</t>
  </si>
  <si>
    <t>0209DX-039000-D0-00-00000</t>
  </si>
  <si>
    <t>39k+000</t>
  </si>
  <si>
    <t>39k+200</t>
  </si>
  <si>
    <t>1121204豪雨災害</t>
  </si>
  <si>
    <t>112/03/29</t>
  </si>
  <si>
    <t>長水引</t>
  </si>
  <si>
    <t>--------------------------------------------------------------- 災害與時間：112.12.4豪雨災害 災點：39K+100下邊坡 災害編號：113-04-B02 施作項目：刷坡1500m2、掛網及錨筋灌漿1500m2 開始施作時間：113.01 完成施作時間：113.04</t>
  </si>
  <si>
    <t>2024/11/12 下午 02:15:31</t>
  </si>
  <si>
    <t>0209DX-039100-A0-00-00000</t>
  </si>
  <si>
    <t>40k+270</t>
  </si>
  <si>
    <t>自然邊坡,防石柵,噴凝土護坡,RC擋土牆,其他:型框植生、掛網、縱洩溝、明隧道</t>
  </si>
  <si>
    <t>105年9月梅姬颱風災害 106年10月豪雨災害 107年5豪雨災害 108年8月23日豪雨災害 1100120豪雨災害 11104豪雨災害 11110豪雨災害 1120803豪雨災害 1140420大雨災害</t>
  </si>
  <si>
    <t>山崩與地滑地質敏感區140K+800-145K+200)落石高敏感區(141K+000~141K+700、141K+850-142K+500)。已納入105年9月梅姬颱風災害進行型框植生及縱洩溝邊坡保護工法(142.5)，邊坡修復工程於106年4月完成。 -------------------------------------------------------------- 災害與時間：105年9月梅姬颱風 災點：(舊樁號142.5)上邊坡 施作項目：型框植生及縱洩溝 完成施作時間：106.04 -------------------------------------------------------------- 災害與時間：106.10豪雨災害 災點：(舊樁號1142K+150、142K+200、142K+600)上邊坡 災害編號：106-04-A10 施作項目：噴凝土、型框植生 完成施作時間：108.07 -------------------------------------------------------------- 災害與時間：107.05豪雨災害 災點：(舊樁號143K+000)上邊坡 災害編號：107-04-B17 施作項目：噴凝土 完成施作時間：108.03 -------------------------------------------------------------- 災害與時間：108.08.23豪雨災害 災點：39K+500上邊坡 災害編號：109-04-B15 施作項目：掛網及錨筋灌漿 完成施作時間：107.07 --------------------------------------------------------------- 災害與時間：110.01.20豪雨災害 災點：40K+100上邊坡 災害編號：110-04-B12 已修復竣事 -------------------------------------------------------------- 災害與時間：111.4.3豪雨災害 災點：39K+400、39K+800上邊坡 災害編號：1111-04-B17 施作項目：掛網及錨筋灌漿 開始施作時間：111.05 完成施作時間：111.08 --------------------------------------------------------------- 災害與時間：111.10.17豪雨災害 災點：39K+550上邊坡 災害編號：111-04-B45 施作項目：掛網及錨筋灌漿285m2 開始施作時間：111.11 完成施作時間：112.01 --------------------------------------------------------------- 災害與時間：111.10.17豪雨災害 災點：39K+800上邊坡 災害編號：111-04-B45 施作項目：土石清理 開始施作時間：111.10 完成施作時間：111.10 --------------------------------------------------------------- 災害與時間：112.8.3豪雨災害 災點：39K+800上邊坡 災害編號：112-04-B34 施作項目：縱洩溝5460m2 開始施作時間：112.10 完成施作時間：113.04 ---------------------------------------------------- 災害與時間：114.4.20 災點：40.250k 災害編號：114-04-B35 施作項目：噴凝土護坡及縱洩溝 開始施作時間：114.6.25 完成施作時間：114.8.16</t>
  </si>
  <si>
    <t>2026/4/13 下午 02:15:45</t>
  </si>
  <si>
    <t>0209DX-040270-A0-00-00000</t>
  </si>
  <si>
    <t>40k+710</t>
  </si>
  <si>
    <t>自然邊坡,噴凝土護坡,RC擋土牆</t>
  </si>
  <si>
    <t>10510豪雨 10801豪雨</t>
  </si>
  <si>
    <t>108/05(概估)</t>
  </si>
  <si>
    <t>山崩與地滑地質敏感區(140K+800-145K+200)。落石高敏感區(143K+000~143k+050)。岩體滑動高敏感區(143K+000~143k+310)。順向坡(143K+150~143k+310)。 ---------------------------------------------------------- 105年10月21日豪雨災害 進行縱洩溝邊坡修復(143.020)。 災害編號:105-04-B28 ---------------------------------------------------------- 108年1月1日豪雨災害造成143K+050上邊坡發生邊坡土石坍方已進行邊坡修復作業。 108.01.01一般災害 143K+050上邊坡噴凝土護坡工程於108年5月完工。 災害編號:108-04-B04。 ---------------------------------------------------------- 現場植生狀況良好，115年1月調降為D級。</t>
  </si>
  <si>
    <t>2026/1/15 下午 05:24:00</t>
  </si>
  <si>
    <t>0209DX-040710-A0-00-00000</t>
  </si>
  <si>
    <t>41k+300</t>
  </si>
  <si>
    <t>自然邊坡,防石柵,噴凝土護坡,RC擋土牆,其他:縱洩溝</t>
  </si>
  <si>
    <t>109/06</t>
  </si>
  <si>
    <t>岩屑崩滑高敏感區：台9線143k+470~144k+050。 落石高敏感區：台9線143k+550~143k+600。 邊坡無明顯不穩定徵兆。 --------------------------------------------------------------- 五年內無災害紀錄，奉本處四工養字第1110087350號 辦理調整至D級。</t>
  </si>
  <si>
    <t>2026/1/15 下午 05:17:48</t>
  </si>
  <si>
    <t>0209DX-041300-A0-00-00000</t>
  </si>
  <si>
    <t>42k+200</t>
  </si>
  <si>
    <t>自然邊坡,石籠護坡,噴凝土護坡,RC擋土牆,其他:掛網、型框植生、縱洩溝</t>
  </si>
  <si>
    <t>1061011豪雨災害 1120803豪雨災害</t>
  </si>
  <si>
    <t>107/09</t>
  </si>
  <si>
    <t>山崩與地滑地質敏感區(140K+800-145K+200)。 106年10月11日豪雨災害(144K+100)。 --------------------------------------------------------------- 災害與時間：112.8.3豪雨災害 災點：41K+420上邊坡 災害編號：112-04-B34 施作項目：縱洩溝3000m2 開始施作時間：112.10 完成施作時間：112.12</t>
  </si>
  <si>
    <t>2026/1/15 下午 01:53:26</t>
  </si>
  <si>
    <t>0209DX-042100-D0-00-00000</t>
  </si>
  <si>
    <t>42k+100</t>
  </si>
  <si>
    <t>自然邊坡,其他:微型樁擋土牆</t>
  </si>
  <si>
    <t>1051021豪雨災害</t>
  </si>
  <si>
    <t>已納入105年10月21日豪雨災害，進行檔土牆保護作業(144K+900)。於106年11月完工。 災害編號：105-04-B28 --------------------------------------------------------------- 五年內無災害紀錄，奉本處四工養字第1110087350號 辦理調整至D級。</t>
  </si>
  <si>
    <t>2026/1/15 下午 05:24:22</t>
  </si>
  <si>
    <t>0209DX-042200-A0-00-00000</t>
  </si>
  <si>
    <t>42k+450</t>
  </si>
  <si>
    <t>自然邊坡,噴凝土護坡,其他:型框植生、掛網</t>
  </si>
  <si>
    <t>11104豪雨災害</t>
  </si>
  <si>
    <t>落石高敏感區(144K+950-145K+050)。山崩與地滑地質敏感區(140K+800-145K+200)。 ----------------------------------------------------------------- 111年4月3日豪雨災害42K+400上邊坡發生坍方，擬進行型框植生。(災害編號:111-04-B17)，於111年6月完成施工。</t>
  </si>
  <si>
    <t>2026/1/15 下午 01:55:48</t>
  </si>
  <si>
    <t>0209DX-042500-D0-00-00000</t>
  </si>
  <si>
    <t>42k+500</t>
  </si>
  <si>
    <t>42k+630</t>
  </si>
  <si>
    <t>自然邊坡</t>
  </si>
  <si>
    <t>10503自然災害 10510自然災害</t>
  </si>
  <si>
    <t>山崩與地滑地質敏感區(140K+800-145K+200)。 105年3月自然災害(145.3~145.35)進行下邊坡保護工作於106年4月完成。 災害編號：105-04-B23 --------------------------------------------------------------- 105年10月21日自然災害(145.3)進行下邊坡保護工作。 災害編號：105-04-B28 --------------------------------------------------------------- 五年內無災害紀錄，奉本處四工養字第1110087350號 辦理調整至D級。</t>
  </si>
  <si>
    <t>2026/1/15 下午 05:24:44</t>
  </si>
  <si>
    <t>0209DX-042630-A0-00-00000</t>
  </si>
  <si>
    <t>43k+550</t>
  </si>
  <si>
    <t>1051021豪雨災害 1080930米塔颱風 1100120豪雨災害 1101013豪雨災害</t>
  </si>
  <si>
    <t>109/04</t>
  </si>
  <si>
    <t>山崩與地滑地質敏感區(145K+400-146K+200)。上邊坡坍方進行預防性上邊坡掛網及錨筋灌漿護坡工程 --------------------------------------------------------------- 災害與時間：105.10.21豪雨災害 災點：(舊樁號146K+220) 災害編號：105-04-A07 已修復竣事 (146K+207~146K+227)。 上邊坡護坡工程業於107年1月完工。 --------------------------------------------------------------- 108年9月30日(米塔颱風災害)146K+300(9丁43K+500)上邊坡發生坍坊，進行邊坡掛網及錨筋灌漿，於109年3月完工。(災害編號:108-04-B35)。 --------------------------------------------------------------- 災害與時間：110.01.20豪雨災害 災點：43K+400上邊坡 災害編號：110-04-B12 已修復竣事 --------------------------------------------------------------- 110年10月13日豪雨災害，42K+700處上邊坡土石崩落，施作型框植生，於111年3月完成施作。(災害編號：110-04-B36) ------------------------------------------------------------</t>
  </si>
  <si>
    <t>2023/5/24 下午 08:19:52</t>
  </si>
  <si>
    <t>0209DX-043450-D0-00-00000</t>
  </si>
  <si>
    <t>43k+450</t>
  </si>
  <si>
    <t>43k+500</t>
  </si>
  <si>
    <t>自然邊坡,噴凝土護坡,岩(地)錨(格梁),其他:型框植生</t>
  </si>
  <si>
    <t>107/12</t>
  </si>
  <si>
    <t>觀音</t>
  </si>
  <si>
    <t>山崩與地滑地質敏感區(145K+400-146K+200)。 105年10月21日豪雨災害造成路基掏空，已進行搶修中(146.2)。 地錨、型框及噴凝土護坡工程，下邊坡護坡工程業於107年12月完工。</t>
  </si>
  <si>
    <t>2026/1/15 下午 05:24:57</t>
  </si>
  <si>
    <t>0209DX-043800-A0-00-00000</t>
  </si>
  <si>
    <t>43k+800</t>
  </si>
  <si>
    <t>44k+990</t>
  </si>
  <si>
    <t>自然邊坡,防石柵,噴凝土護坡,RC擋土牆,其他:掛網、型框植生、縱洩溝、攔砂壩、砌石擋土牆</t>
  </si>
  <si>
    <t>107年11月2日豪雨災害 109年10月13日豪雨災害 1111015豪雨災害 1121204豪雨災害</t>
  </si>
  <si>
    <t>108/02(概估)</t>
  </si>
  <si>
    <t>山崩與地滑地質敏感區(43K+820-44K+990)。 --------------------------------------------------------------- 107年11月2日豪雨災害造成146K+400、147K+100上邊坡發生邊坡土石坍方已進行邊坡修復作業。上邊坡掛網及錨筋灌漿護坡工程於108年2月完工。 災害編號：107-04-B47 --------------------------------------------------------------- 109年10月13日豪雨災害造成43K+900上邊坡發生邊坡土石坍方，擬施作縱洩溝護坡，已於110年5月完工。 災害編號：109-04-B22 ----------------------------------------------------------- 災害與時間：111.10.15豪雨災害 災點：43K+8500上邊坡 災害編號：111-04-B45 施作項目：刷坡1350m2、掛網及錨筋灌漿1350m2 開始施作時間：111.12 完成施作時間：112.04 --------------------------------------------------------------- 災害與時間：112.12.4豪雨災害 災點：43K+800上邊坡 災害編號：113-04-B02 施作項目：刷坡3996m2、噴凝土3996m2 開始施作時間：113.01 完成施作時間：113.05</t>
  </si>
  <si>
    <t>2026/1/15 下午 05:25:12</t>
  </si>
  <si>
    <t>0209DX-043800-D0-00-00000</t>
  </si>
  <si>
    <t>44k+000</t>
  </si>
  <si>
    <t>其他:錨定混凝土框、縱洩溝</t>
  </si>
  <si>
    <t>110年1月20日豪雨災害</t>
  </si>
  <si>
    <t>邊坡有疑似不穩定徵兆 110年1月20日豪雨災害，43.9K處下邊坡滑動，擬設置縱洩溝、錨定混凝土框噴植基材，已於110年4月完工。(災害編號：110-04-B12 )</t>
  </si>
  <si>
    <t>2026/1/15 下午 05:25:30</t>
  </si>
  <si>
    <t>0209DX-044300-D0-00-00000</t>
  </si>
  <si>
    <t>44k+300</t>
  </si>
  <si>
    <t>44k+800</t>
  </si>
  <si>
    <t>自然邊坡,噴凝土護坡,RC擋土牆,預力地錨RC(排樁)擋土牆</t>
  </si>
  <si>
    <t>10510豪雨災害 10609豪雨災害 10904豪雨災害</t>
  </si>
  <si>
    <t>山崩與地滑地質敏感區(146K+400-148K+800)。 --------------------------------------------------------------- 105年10月21日豪雨災害造成下邊坡掏空。 災害與時間：105.10.21豪雨災害 災點：(舊樁號147K+100~300) 災害編號：105-04-A07 已修復竣事 --------------------------------------------------------------- 106年9月豪雨災害造成下邊坡路基坍滑，進行下邊坡擋土設施鋼軌樁防護工程(147K+100~147K+600)。 災害與時間：106.9.2豪雨災害 災點：(舊樁號147K+600) 災害編號：106-04-A09 已修復竣事 --------------------------------------------------------------- 109.4.23豪雨災害 110年6月開始專案施作基樁擋土牆與縱洩溝護坡。於111年2月竣工 災害編號：109-04-A04 ----------------------------------------------------------------</t>
  </si>
  <si>
    <t>2026/1/15 下午 02:22:27</t>
  </si>
  <si>
    <t>0209DX-044990-A0-00-00000</t>
  </si>
  <si>
    <t>45k+250</t>
  </si>
  <si>
    <t>自然邊坡,RC擋土牆,其他:掛網、縱洩溝、型框植生</t>
  </si>
  <si>
    <t>10510豪雨災害 11006豪雨災害 11010豪雨災害 1140420大雨災害 1141219豪雨災害</t>
  </si>
  <si>
    <t>105/10</t>
  </si>
  <si>
    <t>山崩與地滑地質敏感區(146K+400-148K+800)。 -------------------------------------------------------------- 已納入105年10月21日豪雨災害(147K+800)，106年11月邊坡掛網復健完成。 災害編號：105-04-B28 -------------------------------------------------------------- 110年6月豪雨災害造成45.1K處土石滑落，施做掛網及縱洩溝，110年9月完成施作(災編110-04-B22)，於110年9月施工竣事。 -------------------------------------------------------------- 110年10月13日豪雨災害，45K+160處上邊坡土石崩落，施作型框植生，於111年3月完成施作。(災害編號：110-04-B36) -------------------------------------------------------------- 114年4月20日大雨災害，45K+050處上邊坡土石崩落，施作型框植生，於114年9月完成施作。(災害編號：114-04-B35) -------------------------------------------------------------- 114年12月19日豪雨災害，44K+100處上邊坡土石泥瀑，施作坡頂噴溝改水道保護，於115年6月底完成施作。(災害編號：115-04-B11) -------------------------------------------------------------- 114年12月19日豪雨災害，45K+150處上邊坡土石泥流，施作型框植生護坡，於115年6月底完成施作。(災害編號：115-04-B11) -------------------------------------------------------------- 114年12月19日豪雨災害，45K+250處上邊坡土石泥流，施作機械刷坡及型框植生護坡，於115年6月底完成施作。(災害編號：115-04-A04)</t>
  </si>
  <si>
    <t>2026/4/13 下午 02:29:23</t>
  </si>
  <si>
    <t>0209DX-045200-A0-00-00000</t>
  </si>
  <si>
    <t>45k+200</t>
  </si>
  <si>
    <t>45k+650</t>
  </si>
  <si>
    <t>自然邊坡,防石柵,RC擋土牆,其他:明隧道、掛網</t>
  </si>
  <si>
    <t>山崩與地滑地質敏感區(146K+400-148K+800)。 --------------------------------------------------------------- 五年內無災害紀錄，奉本處四工養字第1110087350號 辦理調整至D級。</t>
  </si>
  <si>
    <t>2026/1/15 下午 05:26:27</t>
  </si>
  <si>
    <t>0209DX-045650-A0-00-00000</t>
  </si>
  <si>
    <t>46k+090</t>
  </si>
  <si>
    <t>自然邊坡,噴凝土護坡,其他:掛網、縱洩溝、明隧道</t>
  </si>
  <si>
    <t>107年11月2-4日豪雨災害、108年8月26日豪雨災害 109年12月01日豪雨災害</t>
  </si>
  <si>
    <t>109/03</t>
  </si>
  <si>
    <t>------------------------------------------------------------- 107年11月2-4日豪雨災害造成148K+300上邊坡坍方，進行邊坡掛網，於108年3月完工。(災害編號:107-04-B47)。 ------------------------------------------------------------- 108年8月26日豪雨災害造成148K+400上邊坡發生邊坡土石坍方，進行邊坡掛網工程，於109年2月完工(災害編號:108-04-B26)。 ------------------------------------------------------------- 109年12月01日豪雨災害45K+900上邊坡岩體破裂崩落，施做邊坡掛網500m2，於110年3月完工。(災害編號:110-04-B02) ------------------------------------------------------------- 現場植生狀況良好，115年1月調降為D級。</t>
  </si>
  <si>
    <t>2026/1/15 下午 05:26:41</t>
  </si>
  <si>
    <t>0209DX-046190-A0-00-00000</t>
  </si>
  <si>
    <t>46k+190</t>
  </si>
  <si>
    <t>46k+780</t>
  </si>
  <si>
    <t>自然邊坡,噴凝土護坡,RC擋土牆,其他:掛網、型框植生、縱洩溝</t>
  </si>
  <si>
    <t>106年9月豪雨災害</t>
  </si>
  <si>
    <t>107/06(概估)</t>
  </si>
  <si>
    <t>漢本</t>
  </si>
  <si>
    <t>山崩與地滑地質敏感區(149K+000-152K+800)。 106年9月豪雨災害上邊坡坍方，進行上邊坡縱洩溝護坡工程(149K+350)。 災害編號：106-04-B18</t>
  </si>
  <si>
    <t>2026/1/15 下午 05:27:03</t>
  </si>
  <si>
    <t>0209DX-046780-A0-00-00000</t>
  </si>
  <si>
    <t>46k+980</t>
  </si>
  <si>
    <t>自然邊坡,噴凝土護坡,其他:掛網、縱洩溝</t>
  </si>
  <si>
    <t>106年10月11日豪雨災害</t>
  </si>
  <si>
    <t>山崩與地滑地質敏感區(149K+000-152K+800)。 149K+700因豪雨致土石坍方，已納入災害搶修工程進行上邊坡護坡。106年10月11日豪雨災害(149K+700)於106年9月完工，施作明隧道。 上邊坡土石鬆動易有落石影響公路行車安全，進行明隧道工程台9丁線46K+880(原149K+700)，於109年6月30日完工。</t>
  </si>
  <si>
    <t>2026/1/15 下午 05:27:24</t>
  </si>
  <si>
    <t>0209DX-046830-D0-00-00000</t>
  </si>
  <si>
    <t>46k+830</t>
  </si>
  <si>
    <t>46k+930</t>
  </si>
  <si>
    <t>自然邊坡,RC擋土牆,其他:邊坡掛網</t>
  </si>
  <si>
    <t>105年7月尼伯特風災</t>
  </si>
  <si>
    <t>108/10</t>
  </si>
  <si>
    <t>山崩與地滑地質敏感區(149K+000-152K+800)。已納入105年7月尼伯特風災(149.7下邊坡)進行邊坡保護工程。106年10月完工。(149K+700)。 108年於149.7下邊坡再進行邊坡保護工程於108年10月完工。 ----------------------------------------------------------------------- 現場植生狀況良好，115年1月調降為D級。</t>
  </si>
  <si>
    <t>2026/1/15 下午 05:27:38</t>
  </si>
  <si>
    <t>0209DX-046980-A0-00-00000</t>
  </si>
  <si>
    <t>47k+795</t>
  </si>
  <si>
    <t>自然邊坡,石籠護坡,RC擋土牆,其他:邊坡掛網、縱洩溝</t>
  </si>
  <si>
    <t>105年9月梅姬颱風災害 106年10月11豪雨災害 11010豪雨災害 11110豪雨災害 1121204豪雨災害</t>
  </si>
  <si>
    <t>110.11.10因邊坡範圍重複，將原台9丁線47K+795~47K+765併入此邊坡。 --------------------------------------------------------- 災害與時間：105.9梅姬風災 災點：(150K、150K+200)上邊坡 災害編號：106-04-A10 施作項目：縱洩溝 完成施作時間：106.08 --------------------------------------------------------- 災害與時間：106.10.11豪雨災害 災點：(149K+800)上邊坡 災害編號：106-04-A10 施作項目：邊坡掛網 完成施作時間：108.10 --------------------------------------------------------- 災害與時間：110.10.13豪雨災害 災點：47K+200上邊坡 災害編號：110-04-B36 施作項目：縱洩溝360m 開始施作時間：110.12 完成施作時間：111.03 --------------------------------------------------------- 災害與時間：111.10.15豪雨災害 災點：47K+200上邊坡 災害編號：111-04-B45 施作項目：刷坡600m2、邊坡掛網及錨筋灌漿600m2 開始施作時間：111.12 完成施作時間：112.01 --------------------------------------------------------- 災害與時間：111.10.15豪雨災害 災點：47K+100上邊坡 災害編號：111-04-B45 施作項目：刷坡1500m2、邊坡掛網及錨筋灌漿1500m2 開始施作時間：112.01 完成施作時間：112.08 --------------------------------------------------------------- 災害與時間：112.12.4豪雨災害 災點：47K+050上邊坡 災害編號：113-04-B02 施作項目：刷坡280m2、掛網及錨筋灌漿280m2 開始施作時間：113.01 完成施作時間：113.03</t>
  </si>
  <si>
    <t>2026/1/15 下午 02:07:08</t>
  </si>
  <si>
    <t>0209DX-047795-A0-00-00000</t>
  </si>
  <si>
    <t>48k+840</t>
  </si>
  <si>
    <t>自然邊坡,防石柵,RC擋土牆,其他:縱洩溝</t>
  </si>
  <si>
    <t>10509梅姬風災 1130403地震災害</t>
  </si>
  <si>
    <t>106/08</t>
  </si>
  <si>
    <t>山崩與地滑地質敏感區(149K+000-152K+800)。 ---------------------------------------------------- 110.11.10修正里程為台9丁線47K+795~48K+840。 ---------------------------------------------------- 災害與時間：105年9月梅姬颱風 災點：(150.85、150.95) 施作項目：縱洩溝護坡 完成施作時間：106年8月 ---------------------------------------------------- 災害與時間：113.04.03地震災害 災點：48K+815上邊坡 災害編號：113-04-B13 施作項目：防落石柵修復30m 開始施作時間：113.04 完成施作時間：</t>
  </si>
  <si>
    <t>2026/4/13 下午 02:36:13</t>
  </si>
  <si>
    <t>0209DX-048840-A0-00-00000</t>
  </si>
  <si>
    <t>49k+040</t>
  </si>
  <si>
    <t>自然邊坡,防石柵,RC擋土牆,其他:塊石疊石防護工程</t>
  </si>
  <si>
    <t>108/05/29(概估)</t>
  </si>
  <si>
    <t>山崩與地滑地質敏感區(149K+000-152K+800)。本案因上邊坡已逾公路範圍外，無法修復。106年9月豪雨災害邊坡坍方，進行上邊坡塊石疊石防護工程，上邊坡護坡工程業於107年8月完工，(151K+700~151K+900)。</t>
  </si>
  <si>
    <t>2026/1/15 下午 05:27:50</t>
  </si>
  <si>
    <t>0209DX-049040-A0-00-00000</t>
  </si>
  <si>
    <t>50k+140</t>
  </si>
  <si>
    <t>自然邊坡,防石柵,RC擋土牆,其他:掛網、噴凝土</t>
  </si>
  <si>
    <t>1130724凱米颱風 --------------------- 因114年4月20日豪雨災害豪雨災害，南澳監工站轄線台9線49K+040~49K+950 (50K+000上邊坡)土石崩落</t>
  </si>
  <si>
    <t>谷風</t>
  </si>
  <si>
    <t>山崩與地滑地質敏感區(149K+000-152K+800)。 --------------------------------------------------------------- 五年內無災害紀錄，奉本處四工養字第1110087350號 辦理調整至D級。 ---------------------------------------------------- 災害與時間：113.07.24凱米颱風 災點：49K+900上邊坡 災害編號：114.6.25 施作項目：擋土牆 開始施作時間：113.12 完成施作時間：114.7.23 ---------------------------------------------------- 災害與時間：114.4.20 災點：50k+000 災害編號：114-04-B35 施作項目：土堤施作 開始施作時間：114.6.25 完成施作時間：114.10.1</t>
  </si>
  <si>
    <t>2026/4/13 下午 02:38:57</t>
  </si>
  <si>
    <t>0209DX-050140-A0-00-00000</t>
  </si>
  <si>
    <t>50k+850</t>
  </si>
  <si>
    <t>自然邊坡,RC擋土牆,其他:框型植生、掛網</t>
  </si>
  <si>
    <t>10503自然災害 11010豪雨災害</t>
  </si>
  <si>
    <t>澳花</t>
  </si>
  <si>
    <t>山崩與地滑地質敏感區(153K+000-153K+800)。已納入105年3月自然災害災後復建(153.42k)掛網作業於106年4月完成邊坡修復工程。 110年10月13日豪雨災害，50K+810處上邊坡土石崩落，施作型框植生，於111年3月開始施作。(災害編號：110-04-B36) ---------------------------------------------------------------</t>
  </si>
  <si>
    <t>0209DX-051150-A0-00-00000</t>
  </si>
  <si>
    <t>51k+150</t>
  </si>
  <si>
    <t>51k+900</t>
  </si>
  <si>
    <t>自然邊坡,防石柵,噴凝土護坡,RC擋土牆,其他:型框植生、縱洩溝、掛網</t>
  </si>
  <si>
    <t>105年3月自然災害 107年2月20日一般災害 11110豪雨災害 1141219豪雨災害</t>
  </si>
  <si>
    <t>104/03(概估)</t>
  </si>
  <si>
    <t>山崩與地滑地質敏感區(149K+000-152K+800)。 已納入105年3月自然災害災後復建工作(154K+380)邊坡復建工作於106年4月完成。 上邊坡浮石蓄積易發生落石，進行上邊坡坡面整理工程(154K+610~154K+640)。上邊坡型框植生及縱洩溝護坡工程於106年11月完工。 107年2月20日一般災害造成154K+100上邊坡浮石掉落，擬辦刷坡工程。災害編號:107-04-B11。 ----------------------------------------------- 災害與時間：111.10.15豪雨災害 災點：51K+850上邊坡 災害編號：111-04-B45 施作項目：刷坡4500m2、掛網及錨筋灌漿4500m2 開始施作時間：111.12 完成施作時間：112.04 ----------------------------------------------------------------------- 災害與時間：114.12.19豪雨災害 災點：51K+800上邊坡 災害編號：115-04-B11 施作項目：噴凝土護坡 開始施作時間：115.02 完成施作時間：115.06</t>
  </si>
  <si>
    <t>2026/4/13 下午 02:40:04</t>
  </si>
  <si>
    <t>0209DX-061200-A0-00-00000</t>
  </si>
  <si>
    <t>花蓮縣</t>
  </si>
  <si>
    <t>秀林鄉</t>
  </si>
  <si>
    <t>61k+200</t>
  </si>
  <si>
    <t>62k+450</t>
  </si>
  <si>
    <t>自然邊坡,防石柵,噴凝土護坡,岩(地)錨(格梁),其他:掛網、明隧道、縱洩溝</t>
  </si>
  <si>
    <t>10507尼伯特風災 10610豪雨災害 10702地震災害 10704豪雨災害 10709豪雨災害 10912豪雨災害 11006一般災害 11010豪雨災害 11103豪雨災害 11110豪雨災害 1130403地震災害 1140330豪雨災害 11407丹娜絲颱風災害</t>
  </si>
  <si>
    <t>和中</t>
  </si>
  <si>
    <t>山崩與地滑地質敏感區(162K+900-164K+800)。 --------------------------------------------------------------- 災害與時間：105 災點：(舊樁號164K+700)明隧道災害修復加固 災害編號：105-04-A04 已修復竣事 --------------------------------------------------------------- 災害與時間：105年7月尼伯特風災 災點：(163.95k、164.3k、164.45k) 災害編號：-- 已修復竣事(106年4月) -------------------------------------------------- 災害與時間：106年10月11日豪雨災害 災點：(164K+050-164K+250) 災害編號：106-04-B25 已修復竣事 -------------------------------------------------- 災害與時間：107年度豪大雨災害邊坡保護作業(107年2月6日地震、107年4月因強降豪大雨) 災點：(163K+950~164K+100)、(164K+200~164K+400) 災害編號：-- 已修復竣事 -------------------------------------------------- 災害與時間：107.09.15豪雨災害 災點：(164K+500上邊坡) 災害編號：107-04-B36 施作項目：刷坡30002、掛網及錨筋灌漿3000m2、H型鋼防石柵75m 開始施作時間：107.09 完成施作時間：108.03 ------------------------------------------------- 災害與時間：109.12.01豪雨災害 災點：61K+500上邊坡 災害編號：110-04-B06 施作項目：縱洩(橫截)溝2400m2 開始施作時間：110.02 完成施作時間：110.04 ------------------------------------------------------------ 災害與時間：110年10月12日豪雨災害 災點：62K+400上邊坡(明隧道) 災害編號：110-04-B23 施作項目：明隧道修補 開始施作時間：110.09.01 完成施作時間：111.08.24 ------------------------------------------------------------ 災害與時間：110年10月12日豪雨災害 災點：62K+400處上邊坡 災害編號：110-04-B39 施作項目：刷坡2108m2、掛網及錨筋灌漿2108m2 開始施作時間：110.09 完成施作時間：111.02 ------------------------------------------------------------ 災害與時間：110.12.12明隧道災害復健(擴充) 災點：62K+400上邊坡(明隧道) 災害編號：111-04-B02 施作項目：明隧道復建 開始施作時間：110.12.12 完成施作時間：111.08.24 ------------------------------------------------------------ 災害與時間：111年3月25日豪雨災害 災點：61K+300處上邊坡 災害編號：111-04-B14 施作項目：掛網及錨筋灌漿2700m2 開始施作時間：111.03 完成施作時間：111.07 --------------------------------------------------------------- 災害與時間：111.09老舊復建作業 災點：61K+750上邊坡(明隧道) 災害編號：111-04-A03 施作項目：明隧道老舊復建 開始施作時間：111.11 完成施作時間：112.05 --------------------------------------------------------------- 災害與時間：111.10.10豪雨災害 災點：61K+300上邊坡 災害編號：111-04-B44 施作項目：掛網及錨筋灌漿104m2 開始施作時間：111.11 完成施作時間：112.05 --------------------------------------------------------------- 災害與時間：111.10.10豪雨災害 災點：61K+350上邊坡 災害編號：111-04-B44 施作項目：掛網及錨筋灌漿2800m2 開始施作時間：111.11 完成施作時間：112.02 --------------------------------------------------------------- 災害與時間：111.10.31豪雨災害 災點：61K+310上邊坡 災害編號：111-04-B39 施作項目：刷坡580m2、噴凝土580m2 開始施作時間：111.12 完成施作時間：112.05 ---------------------------------------------------- 災害與時間：114.05.20豪雨災害 災點：61.2、61.3、61.5上邊坡 災害編號：114-04-B37 施作項目：縱洩溝 開始施作時間：114.7.1 完成施作時間：115.01.15 ---------------------------------------------------- 災害與時間：114.7.6丹娜絲颱風災害 災點：61.2~61.550k 災害編號：114-04-A23, 114-04-B59 施作項目：簾幕式防落石網(設計中) 開始施作時間：設計中 完成施作時間：設計中</t>
  </si>
  <si>
    <t>C0T9D0</t>
  </si>
  <si>
    <t>2026/5/23 上午 09:39:39</t>
  </si>
  <si>
    <t>0209DX-061250-D0-00-00000</t>
  </si>
  <si>
    <t>61k+250</t>
  </si>
  <si>
    <t>61k+350</t>
  </si>
  <si>
    <t>自然邊坡,噴凝土護坡,其他:掛網</t>
  </si>
  <si>
    <t>1111008豪雨災害 1111031豪雨災害</t>
  </si>
  <si>
    <t>111/12/26</t>
  </si>
  <si>
    <t>和仁</t>
  </si>
  <si>
    <t>災害與時間：111.10.8豪雨災害 災點：61K+350下邊坡 災害編號：111-04-B44 施作項目：刷坡1200m2、掛網及錨筋灌漿1200m2 開始施作時間：112.01 完成施作時間：112.05 ------------------------------------------------ 災害與時間：111.10.31豪雨災害 災點：61K+310下邊坡 災害編號：111-04-B39 施作項目：刷坡590m2、噴凝土590m2 開始施作時間：111.12 完成施作時間：112.05</t>
  </si>
  <si>
    <t>2026/1/15 下午 04:24:43</t>
  </si>
  <si>
    <t>0209DX-063300-A0-00-00000</t>
  </si>
  <si>
    <t>63k+300</t>
  </si>
  <si>
    <t>63k+500</t>
  </si>
  <si>
    <t>109年1月一般災害</t>
  </si>
  <si>
    <t>109/01</t>
  </si>
  <si>
    <t>邊坡無明顯不穩定徵兆 109年1月一般災害(災害編號109-04-B01) 台9丁線66k+350上邊坡坍方，進行邊坡掛網及錨筋灌漿工程面積計2772m2，於109年9月完工。 ------------------------------------------------------------------- 現場植生狀況良好，115年1月調降為D級。</t>
  </si>
  <si>
    <t>C0Z310</t>
  </si>
  <si>
    <t>2026/5/23 上午 09:41:02</t>
  </si>
  <si>
    <t>0209DX-064700-A0-00-00000</t>
  </si>
  <si>
    <t>64k+700</t>
  </si>
  <si>
    <t>65k+450</t>
  </si>
  <si>
    <t>自然邊坡,其他:掛網</t>
  </si>
  <si>
    <t>10602自然災害 10912豪雨災害 依據行政院中華民國115年1月12日院臺交字第1141038665號辦理 (原台9丁線64K+262~69K+119路段廢止)</t>
  </si>
  <si>
    <t>山崩與地滑地質敏感區(167K+300-173K+400)。 106年2月自然災害致(167K+880)上邊坡發生邊坡土石坍方已進行邊坡修復作業。上邊坡掛網及錨筋灌漿工程於106年11月完工。 109年12月1日豪雨災害致(65K+400)上邊坡發生邊坡土石坍方已進行邊坡修復作業。上邊坡掛網及錨筋灌漿工程已於110年4月完成施作。(災害編號：110-04-B06) ---------------------------------------------------------------------- 現場植生狀況良好，115年1月調降為D級。 依據行政院中華民國115年1月12日院臺交字第1141038665號辦理 (原台9丁線64K+262~69K+119路段廢止)</t>
  </si>
  <si>
    <t>2026/5/23 下午 01:41:08</t>
  </si>
  <si>
    <t>0209DX-065450-A0-00-00000</t>
  </si>
  <si>
    <t>65k+600</t>
  </si>
  <si>
    <t>自然邊坡,其他:攔砂壩</t>
  </si>
  <si>
    <t>1130403地震災害 依據行政院中華民國115年1月12日院臺交字第1141038665號辦理 (原台9丁線64K+262~69K+119路段廢止)</t>
  </si>
  <si>
    <t>109/04(概估)</t>
  </si>
  <si>
    <t>山崩與地滑地質敏感區(167K+300-173K+400)。本段預定施作鐵公路共構明隧道(上邊坡水土保持工程已完成)。 --------------------------------------------------------------- 1121023檢視發現邊坡範圍重疊，修正【台9丁線65K+450~65K+700】為【台9丁線65K+450~65K+600】 ---------------------------------------------------- 災害與時間：113.04.03地震災害 災點：65K+450上邊坡 災害編號： 施作項目：(本路段已封閉,辦理廢線程序中) 開始施作時間：(本路段已封閉,辦理廢線程序中) 完成施作時間：(本路段已封閉,辦理廢線程序中) -------------------------------------------------------------------- 依據行政院中華民國115年1月12日院臺交字第1141038665號辦理 (原台9丁線64K+262~69K+119路段廢止)</t>
  </si>
  <si>
    <t>2026/5/16 上午 10:32:37</t>
  </si>
  <si>
    <t>0209DX-065600-A0-00-00000</t>
  </si>
  <si>
    <t>66k+300</t>
  </si>
  <si>
    <t>自然邊坡,防石柵,RC擋土牆,其他:掛網、無襯砌隧道、砌石擋土牆、型框植生</t>
  </si>
  <si>
    <t>10503自然災害 10704豪雨災害 11005自然災害 11010豪雨災害 11110豪雨災害 1130403地震災害 1130724凱米颱風 依據行政院中華民國115年1月12日院臺交字第1141038665號辦理 (原台9丁線64K+262~69K+119路段廢止)</t>
  </si>
  <si>
    <t>105/03(概估)</t>
  </si>
  <si>
    <t>岩屑崩滑高敏感區(168K+470~168K+510)。山崩與地滑地質敏感區(167K+300~173K+400)。 --------------------------------------------- 災害與時間：105年3月自然災害 災點：(168K+650) 災害編號：-- 已修復完成 --------------------------------------------- 災害與時間：107年4月14日豪雨災害 災點：(168K+550~168K+650)上邊坡 災害編號：107-04-B16 施作項目：明隧道80m、50m 已修復完成 --------------------------------------------- 災害與時間：110年5月自然災害 災點：66.1K上邊坡 災害編號：110-04-B18 施作項目：掛網及錨筋灌漿1500m2 開始施作時間：110.05 完成施作時間：110.12 --------------------------------------------- 災害與時間：110年10月12日豪雨災害 災點：65K+900處上邊坡 災害編號：110-04-B39 施作項目：機械清除坍方1884m3 開始施作時間：110.10 完成施作時間：110.12 -------------------------------------------- 災害與時間：111.10.31豪雨災害 災點：66K+100下邊坡 災害編號：111-04-B39 施作項目：刷坡828m2、型框植生828m2 開始施作時間：111.12 完成施作時間：112.05 ---------------------------------------------------- 災害與時間：113.04.03地震災害 災點：66K+000上邊坡 災害編號：本路段已封閉,辦理廢線程序中 施作項目：(本路段已封閉,辦理廢線程序中) 開始施作時間：本路段已封閉,辦理廢線程序中 完成施作時間：(本路段已封閉,辦理廢線程序中 ---------------------------------------------------- 災害與時間：113.07.24凱米颱風 災點：65K+700上邊坡 災害編號：114-04-B09 施作項目：擋土牆修復 開始施作時間：本路段已封閉,辦理廢線程序中 完成施作時間：本路段已封閉,辦理廢線程序中 -----------------------------------------------------------------------依據行政院中華民國115年1月12日院臺交字第1141038665號辦理 (原台9丁線64K+262~69K+119路段廢止)</t>
  </si>
  <si>
    <t>2026/5/16 上午 10:35:34</t>
  </si>
  <si>
    <t>0209DX-066300-A0-00-00000</t>
  </si>
  <si>
    <t>66k+400</t>
  </si>
  <si>
    <t>自然邊坡,噴凝土護坡,其他:掛網噴漿</t>
  </si>
  <si>
    <t>109年1月一般災害 依據行政院中華民國115年1月12日院臺交字第1141038665號辦理 (原台9丁線64K+262~69K+119路段廢止)</t>
  </si>
  <si>
    <t>109/01(概估)</t>
  </si>
  <si>
    <t>山崩與地滑地質敏感區(167K+300-173K+400)。 109年1月一般災害台9丁線66K+350上邊坡坍方，施作邊坡掛網及錨筋灌漿工程，109年7月施作。(災害編號109-04-B01)。 ----------------------------------------------------------------------- 現場植生狀況良好，115年1月調降為D級。 ----------------------------------------------------------------------- 依據行政院中華民國115年1月12日院臺交字第1141038665號辦理 (原台9丁線64K+262~69K+119路段廢止)</t>
  </si>
  <si>
    <t>2026/5/16 上午 10:37:55</t>
  </si>
  <si>
    <t>0209DX-066330-D0-00-00000</t>
  </si>
  <si>
    <t>66k+330</t>
  </si>
  <si>
    <t>66k+370</t>
  </si>
  <si>
    <t>自然邊坡,岩(地)錨(格梁),其他:岩釘、掛網</t>
  </si>
  <si>
    <t>103/10</t>
  </si>
  <si>
    <t>168K+950路基及邊坡改善工程已於103年10月06日完工。邊坡無明顯不穩定徵兆。傾斜儀、水位計、傾斜觀測管已於103年10月解除。 --------------------------------------------------------------- 五年內無災害紀錄，奉本處四工養字第1110087350號 辦理調整至D級 依據行政院中華民國115年1月12日院臺交字第1141038665號辦理 (原台9丁線64K+262~69K+119路段廢止)。</t>
  </si>
  <si>
    <t>2026/5/16 上午 10:39:18</t>
  </si>
  <si>
    <t>0209DX-066400-A0-00-00000</t>
  </si>
  <si>
    <t>67k+840</t>
  </si>
  <si>
    <t>自然邊坡,噴凝土護坡,RC擋土牆,其他:掛網、上邊坡縱洩溝、擋土牆及防落石柵</t>
  </si>
  <si>
    <t>105年3月自然災害 107年4月14日豪雨災害 107年9月15日豪雨災害 108年5月24日一般豪雨災害 108年8月24日豪雨災害 109年1月一般災害 109年2月一般災害 10912豪雨災害 11009一般災害 11010豪雨災害 1130403地震災害 依據行政院中華民國115年1月12日院臺交字第1141038665號辦理 (原台9丁線64K+262~69K+119路段廢止)</t>
  </si>
  <si>
    <t>岩屑崩滑高敏感區(169K+150-169K+350)。 山崩與地滑地質敏感區(167K+300~173K+400)。 ---------------------------------------------------- 災害與時間：105年3月自然災害 災點：(169K+080，169K+200K，169K+440k-169K+520)(169K+110~169K+180) 施作項目：邊坡修復、掛網修復工程 完成施作時間：106.04 ---------------------------------------------------- 災害與時間：107年4月14日豪雨災害 災點：(169K+250及169K+550上邊坡) 施作項目：邊坡修復 ---------------------------------------------------- 災害與時間：107年9月15日豪雨災害 災點：(169K+700上邊坡、170K+000上邊坡) 災害編號：107-04-B36 施作項目：縱洩(橫截)溝(15cm厚)工程1000m2(長10M*平均100M)、噴凝土護坡(§25mm L=1500mm)工程300m2(長10m*平均高30m)、縱洩溝、擋土牆及防落石柵護坡工程 完成施作時間：108年4月 ---------------------------------------------------- 災害與時間：108年5月24日豪雨災害 災點：(169k+700上邊坡坍方) 災害編號：108-04-B16 施作項目：邊坡掛網與錨筋灌漿 ---------------------------------------------------- 災害與時間：108年8月24日豪雨災害 災點：(台9線159k+910上邊坡) 災害編號：108-04-B24 施作項目：防石柵用H型鋼 ---------------------------------------------------- 災害與時間：108年8月24日豪雨災害 災點：台9丁線67.05K、6.45K 災害編號：108-04-B24 施作項目：邊坡掛網與錨筋灌漿工程 完成施作時間：108年12月 ---------------------------------------------------- 災害與時間：109年1月一般災害 災點：66k+420上邊坡 災害編號：109-04-B01 施作項目：邊坡掛網及錨筋灌漿工程面積計1408m2 完成施作時間：109年7月 ---------------------------------------------------- 災害與時間：109年1月一般災害 災點：66K+680上邊坡 災害編號：109-04-B01 施作項目：邊坡掛網及錨筋灌漿工程 完成施作時間：109年12月 ---------------------------------------------------- 災害與時間：109年1月一般災害 災點：67K+780上邊坡 災害編號：109-04-B01 施作項目：掛網及錨筋灌漿工程面積計4160m2 完成施作時間：109年8月 ---------------------------------------------------- 災害與時間：109年2月一般災害 災點：66k+920、67k+350 災害編號：109-04-B06 施作項目：排水改善 完成施作時間：109年8月 ---------------------------------------------------- 災害與時間：109年12月豪雨災害 災點：67K+600)上邊坡 災害編號：110-04-B06 施作項目：掛網及錨筋灌漿工程 完成施作時間：110年4月 ---------------------------------------------------- 災害與時間：110.09.13一般災害 災點：66K+600上邊坡 災害編號：110-04-B30 已修復竣事 ---------------------------------------------------- 災害與時間：110年10月12日豪雨災害 災點：66K+600處及67K+500處上邊坡 災害編號：110-04-B39 施作項目：縱洩溝 完成施作時間：110年12月 ---------------------------------------------------- 災害與時間：113.04.03地震災害 災點：66K+900、67K+300、67K+500上邊坡 災害編號：(本路段已封閉,辦理廢線程序中) 施作項目：(本路段已封閉,辦理廢線程序中) 開始施作時間：(本路段已封閉,辦理廢線程序中) 完成施作時間：(本路段已封閉,辦理廢線程序中) ----------------------------------------------------------------------- 依據行政院中華民國115年1月12日院臺交字第1141038665號辦理 (原台9丁線64K+262~69K+119路段廢止)</t>
  </si>
  <si>
    <t>2026/5/16 上午 10:36:09</t>
  </si>
  <si>
    <t>0209DX-068500-A0-00-00000</t>
  </si>
  <si>
    <t>68k+500</t>
  </si>
  <si>
    <t>68k+700</t>
  </si>
  <si>
    <t>11005自然災害 11010豪雨災害 11108豪雨災害 依據行政院中華民國115年1月12日院臺交字第1141038665號辦理 (原台9丁線64K+262~69K+119路段廢止)</t>
  </si>
  <si>
    <t>災害與時間：110.05自然災害 災點：68K+600上邊坡 災害編號：110-04-B18 施作項目：掛網及掛網及錨筋灌漿 開始施作時間：110.07 完成施作時間：110.12 --------------------------------------------------------------- 災害與時間：110.10.12豪雨災害 災點：68K+650上邊坡 災害編號：110-04-B39 施作項目：掛網及掛網及錨筋灌漿 完成施作時間：110.12 --------------------------------------------------------------- 災害與時間：111.8.22豪雨災害 災點：68K+650上邊坡 災害編號：111-04-B44 施作項目：掛網及掛網及錨筋灌漿2160m2 開始施作時間：111.11 完成施作時間：112.07 -----------------------------------------------------------------------依據行政院中華民國115年1月12日院臺交字第1141038665號辦理 (原台9丁線64K+262~69K+119路段廢止)</t>
  </si>
  <si>
    <t>2026/5/16 上午 10:37:10</t>
  </si>
  <si>
    <t>0209X-100300-A0-00-00000</t>
  </si>
  <si>
    <t>台9線</t>
  </si>
  <si>
    <t>100k+300</t>
  </si>
  <si>
    <t>100k+600</t>
  </si>
  <si>
    <t>自然邊坡,噴凝土護坡</t>
  </si>
  <si>
    <t>2026/5/26 上午 07:43:14</t>
  </si>
  <si>
    <t>0209X-101400-A0-00-00000</t>
  </si>
  <si>
    <t>101k+400</t>
  </si>
  <si>
    <t>101k+920</t>
  </si>
  <si>
    <t>自然邊坡,RC格框(格子梁),其他:型框植生、縱洩溝</t>
  </si>
  <si>
    <t>南聖湖</t>
  </si>
  <si>
    <t>邊坡無明顯不穩定徵兆。</t>
  </si>
  <si>
    <t>2026/5/26 上午 07:45:07</t>
  </si>
  <si>
    <t>0209X-101980-A0-00-00000</t>
  </si>
  <si>
    <t>101k+980</t>
  </si>
  <si>
    <t>102k+190</t>
  </si>
  <si>
    <t>自然邊坡,RC格框(格子梁),RC擋土牆,其他:型框植生</t>
  </si>
  <si>
    <t>1040324豪雨致上邊坡滑落土石</t>
  </si>
  <si>
    <t>岩屑崩滑高敏感區：102K+020~102K+190。 邊坡無明顯不穩定徵兆。 ----------------------------------------------------------------- 五年內無災害紀錄，奉本處四工養字第1110087350號 辦理調整至D級。</t>
  </si>
  <si>
    <t>2026/5/26 上午 07:45:43</t>
  </si>
  <si>
    <t>0209X-113600-A0-00-00000</t>
  </si>
  <si>
    <t>113k+600</t>
  </si>
  <si>
    <t>114k+150</t>
  </si>
  <si>
    <t>自然邊坡,RC擋土牆,其他:框型植生、縱洩溝、砌石擋土牆</t>
  </si>
  <si>
    <t>C0U760</t>
  </si>
  <si>
    <t>2026/1/15 下午 05:30:53</t>
  </si>
  <si>
    <t>0209X-115150-A0-00-00000</t>
  </si>
  <si>
    <t>115k+150</t>
  </si>
  <si>
    <t>116k+900</t>
  </si>
  <si>
    <t>自然邊坡,防石柵,噴凝土護坡,RC擋土牆,其他:掛網、縱洩溝、框型植生、攔砂壩</t>
  </si>
  <si>
    <t>10706豪雨災害 10711豪雨災害 10801豪雨災害 10808豪雨災害 11006豪雨災害 11104豪雨災害 1141219豪雨災害</t>
  </si>
  <si>
    <t>108/09</t>
  </si>
  <si>
    <t>107年6月豪雨災害造成122K+700(新樁號115.8)上邊坡坍方落石，擬進行刷坡工程，於108年10月完工。災害編號:107-04-B23。 107年11月2-4日豪雨災害造成122K+950(新樁號116.05)上邊坡坍方，進行邊坡掛網及錨筋灌漿，於108年2月完工。災害編號:107-04-B47。 108年1月1日豪雨災害造成122K+600(新樁號115.7)上邊坡坍方，擬進行錨筋灌漿。災害編號:108-04-B04。 108年8月18日豪雨災害造成115K+750上邊坡發生邊坡土石坍方進行邊坡掛網工程於108年9月完工(災害編號:108-04-B25)。 110年6月豪雨災害造成116.2K、116.3K、116.48K、116.5K處土石滑落，擬施做掛網及縱洩溝，於110年11月完成施作(災編110-04-B22)。 --------------------------------------------------------------- 111年4月豪雨災害造成115.8K、116.1K處土石滑落，擬施做掛網，於111年6月完成施作(災編111-04-B17)。 --------------------------------------------------------------- 114年12月19日豪雨災害造成116.9K處土石滑落，擬施做型框植生護坡，於115年6月完成施作(災編115-04-B11)。</t>
  </si>
  <si>
    <t>2026/4/13 下午 12:02:13</t>
  </si>
  <si>
    <t>0209X-116700-A0-00-00000</t>
  </si>
  <si>
    <t>116k+700</t>
  </si>
  <si>
    <t>117k+600</t>
  </si>
  <si>
    <t>自然邊坡,防石柵,噴凝土護坡,RC擋土牆,其他:掛網、型框植生、縱洩溝、攔砂壩</t>
  </si>
  <si>
    <t>10507尼伯特風災 10801豪雨災害 11006豪雨災害 11105豪雨災害 11110豪雨災害 1121204豪雨災害 1130724凱米颱風 11407月薇帕颱風</t>
  </si>
  <si>
    <t>岩屑崩滑高敏感區(122K+550~123K+750)。山崩與地滑地質敏感區(123K+300~124K+400)。落石高敏感區(123K+950~124K+450)。 --------------------------------------------------------------- 災害與時間：105年7月尼伯特風災 災點：123K+300、124K+044上邊坡 施作項目：型框植生及縱洩溝 完成施作時間：106.11 --------------------------------------------------------------- 災害與時間：108年1月1日豪雨災害 災點：123K+890上邊坡 施作項目：上邊坡掛網及錨筋灌漿護坡 完成施作時間：108.05 --------------------------------------------------------------- 災害與時間：110年6月豪雨災害 災點：116.9K、117.1K、117.2K 災害編號：110-04-B22 施作項目：掛網及錨筋灌漿 開始施作時間：110.06 完成施作時間：110.11 --------------------------------------------------------------- 災害與時間：111.05.13豪雨災害 災點：117K+360上邊坡 災害編號：111-04-B18 施作項目：掛網及錨筋灌漿2800m2 開始施作時間：111.06 完成施作時間：111.08 --------------------------------------------------------------- 災害與時間：111.10.15豪雨災害 災點：117K+100上邊坡 災害編號：111-04-B45 施作項目：刷坡3200m2、掛網及錨筋灌漿3200m2 開始施作時間：111.11 完成施作時間：112.04 --------------------------------------------------------------- 災害與時間：112.12.4豪雨災害 災點：117K+400上邊坡 災害編號：113-04-B02 施作項目：刷坡5400m2、掛網及錨筋灌漿5400m2 開始施作時間：113.01 完成施作時間：113.07 --------------------------------------------------------------- 災害與時間：112.07.24凱米颱風 災點：117K+600上邊坡 災害編號：112-04-B25 施作項目：縱洩溝1600m2、掛網及錨筋灌漿900m2 開始施作時間：113.08 完成施作時間：114.01 ---------------------------------------------------- 災害與時間：114.7月薇帕颱風 災點：117k+200 災害編號：114-04-B45 施作項目：縱洩溝 開始施作時間：114.7.22 完成施作時間：114.9.3</t>
  </si>
  <si>
    <t>2026/1/15 下午 05:32:11</t>
  </si>
  <si>
    <t>0209X-116750-D0-00-00000</t>
  </si>
  <si>
    <t>116k+750</t>
  </si>
  <si>
    <t>116k+850</t>
  </si>
  <si>
    <t>RC擋土牆</t>
  </si>
  <si>
    <t>1130724凱米颱風</t>
  </si>
  <si>
    <t>粉鳥林</t>
  </si>
  <si>
    <t>---------------------------------------------------- 災害與時間：113.07.24凱米颱風 災點：116K+800下邊坡 災害編號：113-04-B43 施作項目：路基修復 開始施作時間：113.07 完成施作時間：113.11</t>
  </si>
  <si>
    <t>2026/1/15 下午 05:30:56</t>
  </si>
  <si>
    <t>0209X-117400-D0-00-00000</t>
  </si>
  <si>
    <t>117k+400</t>
  </si>
  <si>
    <t>117k+550</t>
  </si>
  <si>
    <t>RC擋土牆,其他:PC縱洩溝</t>
  </si>
  <si>
    <t>1130724凱米颱風 -------------------- 1131126豪雨災害 -------------------- 1131224大雨災害 -------------------- 1140330豪大雨災害</t>
  </si>
  <si>
    <t>113/07/24(概估)</t>
  </si>
  <si>
    <t>---------------------------------------------------- 災害與時間：1130724凱米颱風 災點：117K+500下邊坡 災害編號：113-04-B43 施作項目：路基修復 開始施作時間：11307 完成施作時間：11312 ---------------------------------------------------- ---------------------------------------------------- 災害與時間：113.11.26 災點：117.4k 災害編號：114-04-B27 施作項目：消波塊、自鑽式岩釘 開始施作時間：114.2.1 完成施作時間：114.3.20 --------------------------------------------------- 災害與時間：113.12.24 災點：117.4k、117.5k、117.6k 災害編號：114-04-B20 施作項目：117.6k縱洩溝3100m2 開始施作時間：114.4.21 完成施作時間：114.6.23 ---------------------------------------------------- 災害與時間：114.3.30 災點：117.4k 災害編號：114-04-B33 施作項目：消波塊、縱洩溝 開始施作時間：114.5.22 完成施作時間：114.6.30</t>
  </si>
  <si>
    <t>2026/1/15 下午 02:33:02</t>
  </si>
  <si>
    <t>0209X-118700-D0-00-00000</t>
  </si>
  <si>
    <t>118k+700</t>
  </si>
  <si>
    <t>119k+650</t>
  </si>
  <si>
    <t>自然邊坡,RC擋土牆,其他:框型植生、攔砂壩、掛網</t>
  </si>
  <si>
    <t>11111豪雨災害 1130724凱米颱風 11407月薇帕颱風</t>
  </si>
  <si>
    <t>山崩與地滑地質敏感區(125K+600~126K+400)。落石高敏感區：126k+050~126k+550。 岩屑崩滑高敏感區：126k+300~126k+360。 邊坡無明顯不穩定徵兆。 ----------------------------------------------------------- 災害與時間：111.11.2豪雨災害 災點：119K+400上邊坡 災害編號：112-04-B02 施作項目：掛網及錨筋灌漿1130m2、縱洩(橫截)溝142.5m2 開始施作時間：112.1 完成施作時間：112.8 ----------------------------------------------------------- 災害與時間：113.07.24凱米颱風 災點：118K+800上邊坡 災害編號：113-04-B43 施作項目：錨錠混凝土框及噴植生基材、縱洩溝 開始施作時間：113.11.12 完成施作時間：114.2.20 ---------------------------------------------------- 災害與時間：114.7月薇帕颱風 災點：118.7k 災害編號：114-04-B44 施作項目：縱洩溝 開始施作時間：尚未施作 完成施作時間：尚未施作</t>
  </si>
  <si>
    <t>C0U770</t>
  </si>
  <si>
    <t>2026/1/15 下午 05:30:39</t>
  </si>
  <si>
    <t>0209X-118950-A0-00-00000</t>
  </si>
  <si>
    <t>118k+950</t>
  </si>
  <si>
    <t>119k+050</t>
  </si>
  <si>
    <t>113/07/24</t>
  </si>
  <si>
    <t>烏石鼻</t>
  </si>
  <si>
    <t>---------------------------------------------------- 災害與時間：1130724凱米颱風 災點：119K+000下邊坡 災害編號：113-04-B43 施作項目：路基修復 開始施作時間：113.12 完成施作時間：114.2.20</t>
  </si>
  <si>
    <t>2025/12/4 下午 04:40:27</t>
  </si>
  <si>
    <t>0209X-120050-D0-00-00000</t>
  </si>
  <si>
    <t>120k+050</t>
  </si>
  <si>
    <t>120k+300</t>
  </si>
  <si>
    <t>自然邊坡,其他:掛網、型框植生、縱洩溝、砌石擋土牆</t>
  </si>
  <si>
    <t>1040203豪雨致上邊坡土石滑落</t>
  </si>
  <si>
    <t>南澳</t>
  </si>
  <si>
    <t>邊坡無明顯不穩定徵兆。 --------------------------------------------------------------- 五年內無災害紀錄，奉本處四工養字第1110087350號 辦理調整至D級。</t>
  </si>
  <si>
    <t>2026/1/15 下午 05:32:32</t>
  </si>
  <si>
    <t>0209X-120500-D0-00-00000</t>
  </si>
  <si>
    <t>120k+500</t>
  </si>
  <si>
    <t>121k+150</t>
  </si>
  <si>
    <t>自然邊坡,噴凝土護坡,RC擋土牆,其他:掛網、砌石擋土牆、攔砂壩</t>
  </si>
  <si>
    <t>10503自然災害 ---------------- 1140420大雨災害 ---------------- 114年7月丹娜絲颱風</t>
  </si>
  <si>
    <t>山崩與地滑地質敏感區(127K+400~128K+300)。落石高敏感區：台9線127K+500~128K+050。岩屑崩滑高敏感區：台9線127K+960~127K+980。 105年3月自然災害(127K+700)。106年8月已完成邊坡掛網及錨筋灌漿護坡工程(127K+700)。 --------------------------------------------------------------- 五年內無災害紀錄，奉本處四工養字第1110087350號 辦理調整至D級。 ---------------------------------------------------- 災害與時間：114.4.20 災點：120.5k 災害編號：114-04-B35 施作項目：邊坡掛網、縱洩溝 開始施作時間：114.8.17 完成施作時間：114.10.13 ---------------------------------------------------- 災害與時間：114.7月 災點：120.7k 災害編號：114-04-A20 施作項目：邊坡掛網、縱洩溝 開始施作時間：預計115.1.30 完成施作時間：預計115.7.30</t>
  </si>
  <si>
    <t>2026/4/13 上午 09:15:54</t>
  </si>
  <si>
    <t>0209X-120800-A0-00-00000</t>
  </si>
  <si>
    <t>120k+800</t>
  </si>
  <si>
    <t>121k+300</t>
  </si>
  <si>
    <t>自然邊坡,噴凝土護坡,RC擋土牆,其他:掛網、型框植生、砌石擋土牆、波崁磚擋土牆</t>
  </si>
  <si>
    <t>108年9月30日米塔颱風</t>
  </si>
  <si>
    <t>109/02</t>
  </si>
  <si>
    <t>106年9月完工(128K+100-128K+110)。 108年9月30日一般災害(米塔胎風災害)121K+300上邊坡發生坍方，進行型框植生工程，於109年2月底完工。(災害編號:108-04-B35)。 ------------------------------------------------------------------------- 現場植生狀況良好，115年1月調降為D級。</t>
  </si>
  <si>
    <t>2026/1/15 下午 05:33:12</t>
  </si>
  <si>
    <t>0209X-121900-A0-00-00000</t>
  </si>
  <si>
    <t>121k+900</t>
  </si>
  <si>
    <t>122k+050</t>
  </si>
  <si>
    <t>11110豪雨災害 11201豪雨災害</t>
  </si>
  <si>
    <t>--------------------------------------------------------------- 災害與時間：111.10.10豪雨災害 災點：121K+900上邊坡 災害編號：111-04-B45 施作項目：掛網及錨筋灌漿840m2 開始施作時間：111.11 完成施作時間：111.12 備註：起樁由121K+950展延至121K+900 ----------------------------------------------------------- 災害與時間：112.1.10豪雨災害 災點：122K+000上邊坡 災害編號：112-04-B06 施作項目：刷坡290m2、掛網及錨筋灌漿290m2、縱洩(橫截)溝37.05m2 開始施作時間：112.1 完成施作時間：112.08</t>
  </si>
  <si>
    <t>2026/1/15 下午 05:33:28</t>
  </si>
  <si>
    <t>0209X-129100-A0-00-00000</t>
  </si>
  <si>
    <t>129k+100</t>
  </si>
  <si>
    <t>129k+110</t>
  </si>
  <si>
    <t>觀音隧道</t>
  </si>
  <si>
    <t>蘇花改隧道北洞口設置地錨，無歷史災害</t>
  </si>
  <si>
    <t>2026/1/15 下午 05:20:06</t>
  </si>
  <si>
    <t>0209X-147310-A0-00-00000</t>
  </si>
  <si>
    <t>146k+900</t>
  </si>
  <si>
    <t>148k+700</t>
  </si>
  <si>
    <t>自然邊坡,防石柵,RC擋土牆,其他:攔砂壩、縱洩溝、簾幕式防護網</t>
  </si>
  <si>
    <t>第5級</t>
  </si>
  <si>
    <t>108年5月24日豪雨災害 108年8月24日豪雨災害 11110豪雨災害 1130403地震災害 1140509及18日豪雨</t>
  </si>
  <si>
    <t>和平</t>
  </si>
  <si>
    <t>災害與時間：108.05.24豪雨災害 災點：(159K+700)上邊坡 災害編號：108-04-B16 施作項目：H型鋼防石柵10m 開始施作時間：108.05 完成施作時間：108.12 ---------------------------------------------------- 災害與時間：108.08.24豪雨災害 災點：(159K+910)上邊坡 災害編號：108-04-B24 施作項目：H型鋼防石柵10m 開始施作時間：108.08 完成施作時間：108.12 ---------------------------------------------------- 災害與時間：111.10.17豪雨災害 災點：148K+200上邊坡 災害編號：111-04-B44 施作項目：噴凝土1680m2 開始施作時間：111.11 完成施作時間：112.05 ---------------------------------------------------- 災害與時間：113.04.03地震災害 災點：147K+700~148K+200上邊坡 災害編號：113-04-A13 施作項目：簾幕式防落石網 開始施作時間：113.07.01 完成施作時間：114.04.10 ------------------------------------------------------------------- 災害與時間：114.5.9豪雨災害, 114.5.18豪雨災害 災點：147.5k、147.7k 災害編號：113-04-A13, 113-04-A25, 114-04-B36 施作項目：型框植生 開始施作時間：113.5.30 完成施作時間：114.6.30 ---------------------------------------------------- 災害與時間：113年9月山陀兒颱風 災點：146K+900 災害編號：114-04-B11 施作項目：型框植生護坡 開始施作時間：114.03.03 完成施作時間：114.03.31 ------------------------------------------------------------------- 災害與時間：114.7.6丹娜絲颱風災害 災點：147.1k 災害編號：114-04-B59 施作項目：型框植生 開始施作時間：114.10.27 完成施作時間：114.12.22</t>
  </si>
  <si>
    <t>2026/5/23 上午 09:55:45</t>
  </si>
  <si>
    <t>0209X-158195-A0-00-00000</t>
  </si>
  <si>
    <t>158k+195</t>
  </si>
  <si>
    <t>158k+600</t>
  </si>
  <si>
    <t>防石柵,噴凝土護坡,岩(地)錨(格梁),其他:掛網、型框植生、縱洩溝、攔砂壩、明隧道、砌石護坡</t>
  </si>
  <si>
    <t>105年9月梅姬颱風 107年9月15日豪雨災害 108年2月4日豪雨災害 108年8月24日豪雨災害 1130403地震災害</t>
  </si>
  <si>
    <t>105/09(概估)</t>
  </si>
  <si>
    <t>崇德</t>
  </si>
  <si>
    <t>落石高敏感區(170K+550~171K+550)。 山崩地滑地質敏感區(173K+300~174K+400)。 ---------------------------------------------------- 災害與時間：105年9月梅姬颱風 災點：(171k+150，171k+700~+820) 施作項目：掛網及錨筋灌漿護坡 完成施作時間：106.11 ---------------------------------------------------- 災害與時間： 107年9月15日豪雨災害 災點：(171K+300、171K+100) 災害編號：107-04-B36 施作項目：掛網及錨筋灌漿、噴凝土護坡 完成施作時間：108.04 ---------------------------------------------------- 災害與時間： 108年2月4日豪雨災害 災點：(171K+960上邊坡) 災害編號：108-04-B06 施作項目：掛網及錨筋灌漿護坡工程 完成施作時間：108.7.22 ---------------------------------------------------- 災害與時間：108年8月24日豪雨災害 災點：(171K+960上邊坡) 災害編號：108-04-B24 施作項目：防石柵用H型鋼 完成施作時間：108.12 ---------------------------------------------------- 災害與時間：113.07月凱米颱風災害 災點：158K+600上邊坡 災害編號：113-04-A21 施作項目：簾幕式防護網 開始施作時間：114.6.16 完成施作時間：115.01.21 ------------------------------------------------- 災害與時間：0403地震災害, 113.7月凱米颱風 災點：158K+300上邊坡 災害編號：114-04-A04, 114-04-A13 施作項目：防落石柵及邊坡掛網與灌漿錨筋, 簾幕式落石防護網 開始施作時間：113.8.16 完成施作時間：114.1.22 ----------------------------------------------------</t>
  </si>
  <si>
    <t>2026/5/23 上午 10:36:04</t>
  </si>
  <si>
    <t>0209X-158600-A0-00-00000</t>
  </si>
  <si>
    <t>160k+330</t>
  </si>
  <si>
    <t>自然邊坡,噴凝土護坡,其他:掛網、明隧道</t>
  </si>
  <si>
    <t>107年7月納入明隧道新建工程 1120111豪雨災害 1130403地震災害</t>
  </si>
  <si>
    <t>107/07</t>
  </si>
  <si>
    <t>大清水隧道及錦文隧道</t>
  </si>
  <si>
    <t>山崩與地滑地質敏感區(167K+300-173K+400)。落石高敏感區：172K+500-174K+200。岩屑崩滑高敏感區：173K+700-174K+100。邊坡無明顯不穩定徵兆。 ---------------------------------------------------- 110.11.10 台9線158.6k~159.2k、159.3~160.3兩區段為大清水隧道及錦文隧道開口處，現皆已設置明隧道保護，併入158.6k~159.2k並加長匡列 全隧道區段(台9線158K+600~160K+330)。 ---------------------------------------------------- 災害與時間：107年7月(172K+700)納入明隧道新建工程 災點：(172K+700) 完成施作時間：109年3月31日 ---------------------------------------------------- 災害與時間：112.1.11豪雨災害 災點：159K+300上邊坡 災害編號：112-04-A04、A05、B05 施作項目：縱洩溝1159m2、掛網213m2、明隧道復建 開始施作時間：112.1 完成施作時間：112.12 ---------------------------------------------------- 災害與時間：0403地震, 114年7月6日丹娜絲颱風 災點：159K+400明隧道 災害編號：114-04-B07、114-04-B59 施作項目：明隧道頂板復建 開始施作時間：114.11.01 完成施作時間：115.04.30 ---------------------------------------------------- 災害與時間：113年10月31日康芮颱風 災點：159K+400上邊坡 災害編號：114-04-A16 施作項目：邊坡土石清理及掛網護坡 開始施作時間：114.03.03 完成施作時間：114.09.01 ----------------------------------------------------</t>
  </si>
  <si>
    <t>2026/5/23 下午 03:17:45</t>
  </si>
  <si>
    <t>0209X-160330-A0-00-00000</t>
  </si>
  <si>
    <t>160k+900</t>
  </si>
  <si>
    <t>自然邊坡,防石柵,噴凝土護坡,其他:掛網</t>
  </si>
  <si>
    <t>106年度11月完工 10912豪雨災害 11005自然災害 11009一般災害 11010豪雨災害 1130403地震災害</t>
  </si>
  <si>
    <t>落石高敏感區(172K+500-174K+200)。岩屑崩滑高敏感區(173K+700-174K+100)。 ---------------------------------------------------- 災害與時間：106年坍方 災點：(174K+300~174K+320) 施作項目：掛網修復 完成施作時間：106.11 ---------------------------------------------------- 災害與時間：109年12月豪雨 災點：160K+400上邊坡 災害編號：110-04-B06 施作項目：掛網及錨筋灌漿 完成施作時間：110年5月31日 ---------------------------------------------------- 災害與時間：110年5月自然災害 災點：160.7K上邊坡 施作項目：掛網及錨筋灌漿 災害編號：110-04-B18 開始施作時間：11007 完成施作時間：已修復竣事 ---------------------------------------------------- 災害與時間：110.09.13一般災害 災點：160K+700上邊坡 災害編號：110-04-B30 完成施作時間：已修復竣事 ---------------------------------------------------- 災害與時間：110年10月12日豪雨災害 災點：160K+550處上邊坡 災害編號：110-04-B39 施作項目：掛網及錨筋灌漿、防石柵、縱洩溝 完成施作時間：110年12月 ---------------------------------------------------- 災害與時間：113.04.03地震災害, 113年7月凱米颱風 災點：160K+700上邊坡 災害編號：(113-04-A13, 113-04-A25) 施作項目：(格梁護坡, 噴植法植生護坡) 開始施作時間：113.6.1 完成施作時間：113.9.15 ---------------------------------------------------- 災害與時間:113.04.03地震災害, 114.5.9及114.5.18豪雨災害, 113年7月凱米颱風 災點：160K+800上邊坡 災害編號：113-04-A13, 114-04-B36, 114-04-B59 施作項目：格梁護坡, 噴植法植生護坡 開始施作時間：113.7.1 完成施作時間：113.9.15 ---------------------------------------------------- 災害與時間：114.07.06丹娜絲颱風災害 災點：160K+900上邊坡 災害編號：114-04-B37, 114-04-B59 施作項目：框型植生 開始施作時間：114.11.01 完成施作時間：115.01.15</t>
  </si>
  <si>
    <t>2026/5/23 上午 10:51:28</t>
  </si>
  <si>
    <t>0209X-160800-D0-00-00000</t>
  </si>
  <si>
    <t>160k+800</t>
  </si>
  <si>
    <t>10503自然災害</t>
  </si>
  <si>
    <t>大清水</t>
  </si>
  <si>
    <t>落石高敏感區(172K+500-174K+200)。已納入105年3月自然災害復建工程，施作噴凝土護坡及擋土牆護坡。 --------------------------------------------------------------- 五年內無災害紀錄，奉本處四工養字第1110087350號 辦理調整至D級。</t>
  </si>
  <si>
    <t>2026/5/23 上午 10:52:51</t>
  </si>
  <si>
    <t>0209X-160900-A0-00-00000</t>
  </si>
  <si>
    <t>161k+350</t>
  </si>
  <si>
    <t>自然邊坡,防石柵,噴凝土護坡,其他:掛網、型框植生</t>
  </si>
  <si>
    <t>10808豪雨災害 11010豪雨災害 1130403地震災害 1140330豪雨災害 1140719薇帕颱風</t>
  </si>
  <si>
    <t>108/08(概估)</t>
  </si>
  <si>
    <t>---------------------------------------------------- 災害與時間：108年8月24日豪雨災害 災點：(台9線174k+460、174K+500及174K+550上邊坡) 災害編號：108-04-B24 施作項目：防石柵用H型鋼 完成施作時間：109.09 ---------------------------------------------------- 災害與時間：110年10月12日豪雨災害 災點：161K+100處上邊坡 災害編號：110-04-B39 施作項目：掛網及錨筋灌漿、型框植生 完成施作時間：111.02 ---------------------------------------------------- 災害與時間：113.04.03地震災害, 113年7月凱米颱風 災點：161K+200上邊坡 災害編號：113-04-A13, 113-04-A25 施作項目：格梁護坡, 掛網、縱洩溝、型框植生 開始施作時間：113.7.10 完成施作時間：113.9.15 ---------------------------------------------------- 災害與時間：114年7月19日薇帕颱風, 114.05.09豪雨災害, 114.05.18豪雨災害 災點：161.300, 161.350 災害編號：114-04-A23, 114-04-B36, 114-04-B43 施作項目：型框植生護坡、縱洩溝、橫截溝、噴植生基材 開始施作時間：114.07.19 預定完成施作時間：114.01.15 ---------------------------------------------------- 災害與時間：114.7.19薇帕颱風災害 災點：161.1 災害編號：114-04-B43 施作項目：型框植生 開始施作時間：114.7.19 預定完成施作時間：115.01.15 ---------------------------------------------------- 災害與時間：114.7.19薇帕颱風災害 災點：161.150 災害編號：114-04-B43 施作項目：縱洩溝 開始施作時間：113.11.15 預定完成施作時間：114.04.25 ---------------------------------------------------- 災害與時間：113年10月31日康芮颱風 災點：161.070 災害編號：114-04-B18 施作項目：縱洩溝及橫截溝 開始施作時間：114.10.20 預定完成施作時間：115.01.15</t>
  </si>
  <si>
    <t>2026/1/15 下午 05:33:29</t>
  </si>
  <si>
    <t>0209X-162650-A0-00-00000</t>
  </si>
  <si>
    <t>162k+650</t>
  </si>
  <si>
    <t>163k+000</t>
  </si>
  <si>
    <t>自然邊坡,其他:掛網、簾幕式防護網</t>
  </si>
  <si>
    <t>10901一般災害 11005自然災害 11103豪雨災害 1130403地震災害 1140520豪雨災害</t>
  </si>
  <si>
    <t>落石高敏感區(175K+950-177K+500)。山崩與地滑地質敏感區(175K+400-181K+000)。 ---------------------------------------------------- 災害與時間：109年1月一般災害 災點：162K+850上邊坡 災害編號：109-04-B01 施作項目：掛網及錨筋灌漿面積計2496m2 完成施作時間：109.06 ---------------------------------------------------- 災害與時間：109年1月一般災害 災點：162K+950上邊坡 災害編號：109-04-B01 施作項目：邊坡掛網及錨筋灌漿面積計539m2 完成施作時間：109.06 ------------------------------------------------------------- 災害與時間：110.05.05自然災害 災點：162K+700上邊坡 災害編號：110-04-B18 已修復竣事 ---------------------------------------------------- 災害與時間：111年3月豪雨災害 災點：162K+700上邊坡 災害編號：111-04-B14 施作項目：邊坡掛網及錨筋灌漿面積計2636m2 完成施作時間：111.07 ---------------------------------------------------- 災害與時間：113.04.03地震災害 災點：162K+800上邊坡 災害編號：(114-04-A19) 施作項目：簾幕式防護網 開始施作時間：114.12.01 完成施作時間：115.06.05 ---------------------------------------------------- 災害與時間：0403地震災害 災點：162.9k 災害編號：114-04-B08 施作項目：邊坡掛網噴漿 開始施作時間：114.12.01 完成施作時間：115.06.05 ---------------------------------------------------- 災害與時間：0403地震災害 災點：162.750-900k 災害編號：114-04-A19 施作項目：明隧道工程 開始施作時間：114.12.01 完成施作時間：115.06.05 ----------------------------------------------------</t>
  </si>
  <si>
    <t>2026/5/23 上午 11:32:33</t>
  </si>
  <si>
    <t>0209X-163300-A0-00-00000</t>
  </si>
  <si>
    <t>163k+300</t>
  </si>
  <si>
    <t>163k+620</t>
  </si>
  <si>
    <t>自然邊坡,RC擋土牆,其他:掛網、砌石擋土牆</t>
  </si>
  <si>
    <t>1130403地震災害 114.07.06丹娜絲颱風</t>
  </si>
  <si>
    <t>落石高敏感區：175K+950-177K+500。山崩地滑地質敏感區(175K+400~181K+000)。 ---------------------------------------------------- 災害與時間：0403地震災害, 114年07日凱米颱風 災點：163K+400上邊坡 災害編號：114-04-A13, 114-04-A25 施作項目：格梁護坡, 噴植法植生護坡 開始施作時間：114.09.30 完成施作時間：114.01.22 -------------------------------------------------------- 災害與時間：114.07.06丹娜絲颱風 災點：崇德隧道南、北口163K~163K+400 災害編號：114-04-A24 施作項目：防護牆施作 開始施作時間：115.01.31 完成施作時間：115.05.31</t>
  </si>
  <si>
    <t>2026/5/23 上午 11:36:04</t>
  </si>
  <si>
    <t>0209X-163710-A0-00-00000</t>
  </si>
  <si>
    <t>163k+710</t>
  </si>
  <si>
    <t>164k+050</t>
  </si>
  <si>
    <t>自然邊坡,噴凝土護坡,其他:縱洩溝</t>
  </si>
  <si>
    <t>10507尼伯特風災 1130724凱米颱風</t>
  </si>
  <si>
    <t>落石高敏感區：175K+950-177K+500。山崩與地滑地質敏感區(175K+400-181K+000)。已納入105年7月尼伯特風災修復工程於106年4月完成。 --------------------------------------------------------------- 五年內無災害紀錄，奉本處四工養字第1110087350號 辦理調整至D級。 ---------------------------------------------------- 災害與時間：113.10.30康芮颱風 災點：台9線163K+950、163K+900 災害編號：114-04-B18, 114-04-B37 施作項目：型框植生及縱洩溝 開始施作時間：114.07.19 完成施作時間：114.11.01 ---------------------------------------------------</t>
  </si>
  <si>
    <t>2026/5/23 上午 11:41:00</t>
  </si>
  <si>
    <t>0209X-164050-A0-00-00000</t>
  </si>
  <si>
    <t>167k+800</t>
  </si>
  <si>
    <t>自然邊坡,RC擋土牆,其他:預力地錨</t>
  </si>
  <si>
    <t>105年麥德姆災害 1130724凱米颱風 11407月薇帕颱風</t>
  </si>
  <si>
    <t>106/01(概估)</t>
  </si>
  <si>
    <t>山崩與地滑地質敏感區(175K+ 400-181K+000 邊坡 ---------------------------------------------------- 災害與時間：105年麥德姆災害 災點：(177K+400) 災害編號： 施作項目：縱洩溝 開始施作時間：10506 完成施作時間：10601 ---------------------------------------------------------- 災害與時間：114.05.20豪雨災害 災點：164K+400 災害編號：113-04-A13, 114-04-B37 施作項目：縱洩溝 開始施作時間：114.07.20 完成施作時間：114.09.15</t>
  </si>
  <si>
    <t>2026/5/23 上午 11:45:50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</si>
</sst>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/d"/>
  </numFmts>
  <fonts count="4">
    <font>
      <sz val="11.0"/>
      <color rgb="FF000000"/>
      <name val="Aptos Narrow"/>
      <scheme val="minor"/>
    </font>
    <font>
      <sz val="12.0"/>
      <color rgb="FF000000"/>
      <name val="Calibri"/>
    </font>
    <font>
      <sz val="12.0"/>
      <color rgb="FF000000"/>
      <name val="Microsoft JhengHei"/>
    </font>
    <font>
      <sz val="11.0"/>
      <color rgb="FF000000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4" applyAlignment="1" applyFont="1" applyNumberFormat="1"/>
  </cellStyleXfs>
  <cellXfs count="10">
    <xf borderId="0" fillId="0" fontId="0" numFmtId="4" xfId="0" applyAlignment="1" applyFont="1" applyNumberForma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0" fillId="0" fontId="1" numFmtId="0" xfId="0" applyAlignment="1" applyFont="1">
      <alignment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0" fillId="0" fontId="1" numFmtId="164" xfId="0" applyAlignment="1" applyFont="1" applyNumberFormat="1">
      <alignment readingOrder="0" vertical="center"/>
    </xf>
    <xf borderId="0" fillId="0" fontId="1" numFmtId="0" xfId="0" applyAlignment="1" applyFont="1">
      <alignment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hidden="1" min="1" max="1" width="7.63"/>
    <col customWidth="1" min="2" max="2" width="25.5"/>
    <col customWidth="1" hidden="1" min="3" max="6" width="7.63"/>
    <col customWidth="1" min="7" max="7" width="8.38"/>
    <col customWidth="1" min="8" max="8" width="10.5"/>
    <col customWidth="1" min="9" max="9" width="7.63"/>
    <col customWidth="1" min="10" max="11" width="7.0"/>
    <col customWidth="1" min="12" max="15" width="7.63"/>
    <col customWidth="1" min="16" max="16" width="24.38"/>
    <col customWidth="1" hidden="1" min="17" max="22" width="7.63"/>
    <col customWidth="1" min="23" max="23" width="5.75"/>
    <col customWidth="1" min="24" max="24" width="5.5"/>
    <col customWidth="1" min="25" max="25" width="17.38"/>
    <col customWidth="1" hidden="1" min="26" max="30" width="7.63"/>
    <col customWidth="1" hidden="1" min="31" max="31" width="11.25"/>
    <col customWidth="1" min="32" max="34" width="57.0"/>
    <col customWidth="1" hidden="1" min="35" max="36" width="7.63"/>
  </cols>
  <sheetData>
    <row r="1" ht="79.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4" t="s">
        <v>32</v>
      </c>
      <c r="AH1" s="4" t="s">
        <v>33</v>
      </c>
      <c r="AI1" s="1" t="s">
        <v>34</v>
      </c>
      <c r="AJ1" s="1" t="s">
        <v>35</v>
      </c>
    </row>
    <row r="2" ht="79.5" customHeight="1">
      <c r="A2" s="5" t="s">
        <v>36</v>
      </c>
      <c r="B2" s="5" t="s">
        <v>37</v>
      </c>
      <c r="C2" s="5" t="s">
        <v>38</v>
      </c>
      <c r="D2" s="5" t="s">
        <v>39</v>
      </c>
      <c r="E2" s="5" t="s">
        <v>40</v>
      </c>
      <c r="F2" s="5" t="s">
        <v>41</v>
      </c>
      <c r="G2" s="5" t="s">
        <v>42</v>
      </c>
      <c r="H2" s="5" t="s">
        <v>43</v>
      </c>
      <c r="I2" s="5" t="s">
        <v>44</v>
      </c>
      <c r="J2" s="5" t="s">
        <v>45</v>
      </c>
      <c r="K2" s="5" t="s">
        <v>46</v>
      </c>
      <c r="L2" s="5">
        <v>121.837734</v>
      </c>
      <c r="M2" s="5">
        <v>24.609858</v>
      </c>
      <c r="N2" s="5">
        <v>121.83771</v>
      </c>
      <c r="O2" s="5">
        <v>24.608244</v>
      </c>
      <c r="P2" s="6" t="s">
        <v>47</v>
      </c>
      <c r="Q2" s="5" t="s">
        <v>48</v>
      </c>
      <c r="R2" s="5"/>
      <c r="S2" s="5">
        <v>30.0</v>
      </c>
      <c r="T2" s="5">
        <v>200.0</v>
      </c>
      <c r="U2" s="5">
        <v>85.0</v>
      </c>
      <c r="V2" s="5" t="s">
        <v>49</v>
      </c>
      <c r="W2" s="5" t="s">
        <v>50</v>
      </c>
      <c r="X2" s="5"/>
      <c r="Y2" s="6" t="s">
        <v>51</v>
      </c>
      <c r="Z2" s="5" t="s">
        <v>52</v>
      </c>
      <c r="AA2" s="5"/>
      <c r="AB2" s="5"/>
      <c r="AC2" s="5" t="s">
        <v>51</v>
      </c>
      <c r="AD2" s="5" t="s">
        <v>51</v>
      </c>
      <c r="AE2" s="5" t="s">
        <v>53</v>
      </c>
      <c r="AF2" s="6" t="s">
        <v>54</v>
      </c>
      <c r="AG2" s="6" t="str">
        <f>M2 &amp; "," &amp; L2</f>
        <v>24.609858,121.837734</v>
      </c>
      <c r="AH2" s="6"/>
      <c r="AI2" s="5"/>
      <c r="AJ2" s="5" t="s">
        <v>55</v>
      </c>
    </row>
    <row r="3" ht="79.5" customHeight="1">
      <c r="A3" s="5" t="s">
        <v>36</v>
      </c>
      <c r="B3" s="5" t="s">
        <v>56</v>
      </c>
      <c r="C3" s="5" t="s">
        <v>38</v>
      </c>
      <c r="D3" s="5" t="s">
        <v>39</v>
      </c>
      <c r="E3" s="5" t="s">
        <v>40</v>
      </c>
      <c r="F3" s="5" t="s">
        <v>41</v>
      </c>
      <c r="G3" s="5" t="s">
        <v>42</v>
      </c>
      <c r="H3" s="5" t="s">
        <v>57</v>
      </c>
      <c r="I3" s="5" t="s">
        <v>58</v>
      </c>
      <c r="J3" s="5" t="s">
        <v>59</v>
      </c>
      <c r="K3" s="5" t="s">
        <v>46</v>
      </c>
      <c r="L3" s="7">
        <v>121.8372</v>
      </c>
      <c r="M3" s="7">
        <v>24.60658</v>
      </c>
      <c r="N3" s="7">
        <v>121.8376</v>
      </c>
      <c r="O3" s="7">
        <v>24.60255</v>
      </c>
      <c r="P3" s="6" t="s">
        <v>60</v>
      </c>
      <c r="Q3" s="5" t="s">
        <v>48</v>
      </c>
      <c r="R3" s="5"/>
      <c r="S3" s="5">
        <v>20.0</v>
      </c>
      <c r="T3" s="5">
        <v>460.0</v>
      </c>
      <c r="U3" s="5">
        <v>50.0</v>
      </c>
      <c r="V3" s="5"/>
      <c r="W3" s="5" t="s">
        <v>50</v>
      </c>
      <c r="X3" s="5"/>
      <c r="Y3" s="6" t="s">
        <v>51</v>
      </c>
      <c r="Z3" s="8">
        <v>46171.0</v>
      </c>
      <c r="AA3" s="5" t="s">
        <v>61</v>
      </c>
      <c r="AB3" s="5"/>
      <c r="AC3" s="5" t="s">
        <v>51</v>
      </c>
      <c r="AD3" s="5" t="s">
        <v>51</v>
      </c>
      <c r="AE3" s="5" t="s">
        <v>62</v>
      </c>
      <c r="AF3" s="6" t="s">
        <v>63</v>
      </c>
      <c r="AG3" s="9" t="str">
        <f>M2 &amp; "," &amp; L2</f>
        <v>24.609858,121.837734</v>
      </c>
      <c r="AH3" s="6"/>
      <c r="AI3" s="5"/>
      <c r="AJ3" s="5" t="s">
        <v>64</v>
      </c>
    </row>
    <row r="4" ht="79.5" customHeight="1">
      <c r="A4" s="5" t="s">
        <v>36</v>
      </c>
      <c r="B4" s="5" t="s">
        <v>65</v>
      </c>
      <c r="C4" s="5" t="s">
        <v>38</v>
      </c>
      <c r="D4" s="5" t="s">
        <v>39</v>
      </c>
      <c r="E4" s="5" t="s">
        <v>40</v>
      </c>
      <c r="F4" s="5" t="s">
        <v>41</v>
      </c>
      <c r="G4" s="5" t="s">
        <v>42</v>
      </c>
      <c r="H4" s="5" t="s">
        <v>66</v>
      </c>
      <c r="I4" s="5" t="s">
        <v>67</v>
      </c>
      <c r="J4" s="5" t="s">
        <v>45</v>
      </c>
      <c r="K4" s="5" t="s">
        <v>46</v>
      </c>
      <c r="L4" s="7">
        <v>121.8597</v>
      </c>
      <c r="M4" s="7">
        <v>24.59045</v>
      </c>
      <c r="N4" s="7">
        <v>121.8604</v>
      </c>
      <c r="O4" s="7">
        <v>24.58977</v>
      </c>
      <c r="P4" s="6" t="s">
        <v>68</v>
      </c>
      <c r="Q4" s="5" t="s">
        <v>48</v>
      </c>
      <c r="R4" s="5" t="s">
        <v>69</v>
      </c>
      <c r="S4" s="5">
        <v>50.0</v>
      </c>
      <c r="T4" s="5">
        <v>100.0</v>
      </c>
      <c r="U4" s="5">
        <v>70.0</v>
      </c>
      <c r="V4" s="5"/>
      <c r="W4" s="5" t="s">
        <v>70</v>
      </c>
      <c r="X4" s="5"/>
      <c r="Y4" s="6" t="s">
        <v>71</v>
      </c>
      <c r="Z4" s="8">
        <v>46171.0</v>
      </c>
      <c r="AA4" s="5" t="s">
        <v>72</v>
      </c>
      <c r="AB4" s="5"/>
      <c r="AC4" s="5" t="s">
        <v>51</v>
      </c>
      <c r="AD4" s="5" t="s">
        <v>51</v>
      </c>
      <c r="AE4" s="5" t="s">
        <v>73</v>
      </c>
      <c r="AF4" s="6" t="s">
        <v>74</v>
      </c>
      <c r="AG4" s="9" t="str">
        <f>M2 &amp; "," &amp; L2</f>
        <v>24.609858,121.837734</v>
      </c>
      <c r="AH4" s="6"/>
      <c r="AI4" s="5"/>
      <c r="AJ4" s="5" t="s">
        <v>75</v>
      </c>
    </row>
    <row r="5" ht="79.5" customHeight="1">
      <c r="A5" s="5" t="s">
        <v>36</v>
      </c>
      <c r="B5" s="5" t="s">
        <v>76</v>
      </c>
      <c r="C5" s="5" t="s">
        <v>38</v>
      </c>
      <c r="D5" s="5" t="s">
        <v>39</v>
      </c>
      <c r="E5" s="5" t="s">
        <v>40</v>
      </c>
      <c r="F5" s="5" t="s">
        <v>41</v>
      </c>
      <c r="G5" s="5" t="s">
        <v>77</v>
      </c>
      <c r="H5" s="5" t="s">
        <v>78</v>
      </c>
      <c r="I5" s="5" t="s">
        <v>79</v>
      </c>
      <c r="J5" s="5" t="s">
        <v>59</v>
      </c>
      <c r="K5" s="5" t="s">
        <v>46</v>
      </c>
      <c r="L5" s="5">
        <v>121.849466</v>
      </c>
      <c r="M5" s="5">
        <v>24.594087</v>
      </c>
      <c r="N5" s="5">
        <v>121.847727</v>
      </c>
      <c r="O5" s="5">
        <v>24.594098</v>
      </c>
      <c r="P5" s="6" t="s">
        <v>80</v>
      </c>
      <c r="Q5" s="5" t="s">
        <v>48</v>
      </c>
      <c r="R5" s="5" t="s">
        <v>81</v>
      </c>
      <c r="S5" s="5">
        <v>20.0</v>
      </c>
      <c r="T5" s="5">
        <v>100.0</v>
      </c>
      <c r="U5" s="5">
        <v>80.0</v>
      </c>
      <c r="V5" s="5"/>
      <c r="W5" s="5" t="s">
        <v>50</v>
      </c>
      <c r="X5" s="5"/>
      <c r="Y5" s="6" t="s">
        <v>82</v>
      </c>
      <c r="Z5" s="5" t="s">
        <v>83</v>
      </c>
      <c r="AA5" s="5"/>
      <c r="AB5" s="5"/>
      <c r="AC5" s="5" t="s">
        <v>51</v>
      </c>
      <c r="AD5" s="5" t="s">
        <v>51</v>
      </c>
      <c r="AE5" s="5" t="s">
        <v>62</v>
      </c>
      <c r="AF5" s="6" t="s">
        <v>84</v>
      </c>
      <c r="AG5" s="6" t="str">
        <f t="shared" ref="AG5:AG104" si="1">M5 &amp; "," &amp; L5</f>
        <v>24.594087,121.849466</v>
      </c>
      <c r="AH5" s="6"/>
      <c r="AI5" s="5" t="s">
        <v>85</v>
      </c>
      <c r="AJ5" s="5" t="s">
        <v>86</v>
      </c>
    </row>
    <row r="6" ht="79.5" customHeight="1">
      <c r="A6" s="5" t="s">
        <v>36</v>
      </c>
      <c r="B6" s="5" t="s">
        <v>87</v>
      </c>
      <c r="C6" s="5" t="s">
        <v>38</v>
      </c>
      <c r="D6" s="5" t="s">
        <v>39</v>
      </c>
      <c r="E6" s="5" t="s">
        <v>40</v>
      </c>
      <c r="F6" s="5" t="s">
        <v>41</v>
      </c>
      <c r="G6" s="5" t="s">
        <v>88</v>
      </c>
      <c r="H6" s="5" t="s">
        <v>89</v>
      </c>
      <c r="I6" s="5" t="s">
        <v>90</v>
      </c>
      <c r="J6" s="5" t="s">
        <v>45</v>
      </c>
      <c r="K6" s="5" t="s">
        <v>46</v>
      </c>
      <c r="L6" s="5">
        <v>121.854586</v>
      </c>
      <c r="M6" s="5">
        <v>24.595803</v>
      </c>
      <c r="N6" s="5">
        <v>121.855417</v>
      </c>
      <c r="O6" s="5">
        <v>24.594454</v>
      </c>
      <c r="P6" s="6" t="s">
        <v>91</v>
      </c>
      <c r="Q6" s="5" t="s">
        <v>92</v>
      </c>
      <c r="R6" s="5" t="s">
        <v>69</v>
      </c>
      <c r="S6" s="5">
        <v>50.0</v>
      </c>
      <c r="T6" s="5">
        <v>200.0</v>
      </c>
      <c r="U6" s="5">
        <v>65.0</v>
      </c>
      <c r="V6" s="5"/>
      <c r="W6" s="5" t="s">
        <v>50</v>
      </c>
      <c r="X6" s="5"/>
      <c r="Y6" s="6" t="s">
        <v>93</v>
      </c>
      <c r="Z6" s="5" t="s">
        <v>94</v>
      </c>
      <c r="AA6" s="5" t="s">
        <v>72</v>
      </c>
      <c r="AB6" s="5"/>
      <c r="AC6" s="5" t="s">
        <v>51</v>
      </c>
      <c r="AD6" s="5" t="s">
        <v>51</v>
      </c>
      <c r="AE6" s="5" t="s">
        <v>62</v>
      </c>
      <c r="AF6" s="6" t="s">
        <v>95</v>
      </c>
      <c r="AG6" s="6" t="str">
        <f t="shared" si="1"/>
        <v>24.595803,121.854586</v>
      </c>
      <c r="AH6" s="9"/>
      <c r="AI6" s="5" t="s">
        <v>96</v>
      </c>
      <c r="AJ6" s="5" t="s">
        <v>97</v>
      </c>
    </row>
    <row r="7" ht="79.5" customHeight="1">
      <c r="A7" s="5" t="s">
        <v>36</v>
      </c>
      <c r="B7" s="5" t="s">
        <v>98</v>
      </c>
      <c r="C7" s="5" t="s">
        <v>38</v>
      </c>
      <c r="D7" s="5" t="s">
        <v>39</v>
      </c>
      <c r="E7" s="5" t="s">
        <v>40</v>
      </c>
      <c r="F7" s="5" t="s">
        <v>41</v>
      </c>
      <c r="G7" s="5" t="s">
        <v>88</v>
      </c>
      <c r="H7" s="5" t="s">
        <v>99</v>
      </c>
      <c r="I7" s="5" t="s">
        <v>100</v>
      </c>
      <c r="J7" s="5" t="s">
        <v>59</v>
      </c>
      <c r="K7" s="5" t="s">
        <v>101</v>
      </c>
      <c r="L7" s="5">
        <v>121.858419</v>
      </c>
      <c r="M7" s="5">
        <v>24.590801</v>
      </c>
      <c r="N7" s="5">
        <v>121.858754</v>
      </c>
      <c r="O7" s="5">
        <v>24.58917</v>
      </c>
      <c r="P7" s="6" t="s">
        <v>102</v>
      </c>
      <c r="Q7" s="5" t="s">
        <v>48</v>
      </c>
      <c r="R7" s="5" t="s">
        <v>103</v>
      </c>
      <c r="S7" s="5">
        <v>30.0</v>
      </c>
      <c r="T7" s="5">
        <v>200.0</v>
      </c>
      <c r="U7" s="5">
        <v>60.0</v>
      </c>
      <c r="V7" s="5"/>
      <c r="W7" s="5" t="s">
        <v>70</v>
      </c>
      <c r="X7" s="5"/>
      <c r="Y7" s="6" t="s">
        <v>104</v>
      </c>
      <c r="Z7" s="5" t="s">
        <v>105</v>
      </c>
      <c r="AA7" s="5" t="s">
        <v>106</v>
      </c>
      <c r="AB7" s="5"/>
      <c r="AC7" s="5" t="s">
        <v>51</v>
      </c>
      <c r="AD7" s="5" t="s">
        <v>51</v>
      </c>
      <c r="AE7" s="5" t="s">
        <v>62</v>
      </c>
      <c r="AF7" s="6" t="s">
        <v>107</v>
      </c>
      <c r="AG7" s="6" t="str">
        <f t="shared" si="1"/>
        <v>24.590801,121.858419</v>
      </c>
      <c r="AH7" s="6"/>
      <c r="AI7" s="5" t="s">
        <v>96</v>
      </c>
      <c r="AJ7" s="5" t="s">
        <v>108</v>
      </c>
    </row>
    <row r="8" ht="79.5" customHeight="1">
      <c r="A8" s="5" t="s">
        <v>36</v>
      </c>
      <c r="B8" s="5" t="s">
        <v>109</v>
      </c>
      <c r="C8" s="5" t="s">
        <v>38</v>
      </c>
      <c r="D8" s="5" t="s">
        <v>39</v>
      </c>
      <c r="E8" s="5" t="s">
        <v>40</v>
      </c>
      <c r="F8" s="5" t="s">
        <v>41</v>
      </c>
      <c r="G8" s="5" t="s">
        <v>88</v>
      </c>
      <c r="H8" s="5" t="s">
        <v>110</v>
      </c>
      <c r="I8" s="5" t="s">
        <v>111</v>
      </c>
      <c r="J8" s="5" t="s">
        <v>45</v>
      </c>
      <c r="K8" s="5" t="s">
        <v>46</v>
      </c>
      <c r="L8" s="5">
        <v>121.857978</v>
      </c>
      <c r="M8" s="5">
        <v>24.591592</v>
      </c>
      <c r="N8" s="5">
        <v>121.86137</v>
      </c>
      <c r="O8" s="5">
        <v>24.581518</v>
      </c>
      <c r="P8" s="6" t="s">
        <v>112</v>
      </c>
      <c r="Q8" s="5" t="s">
        <v>92</v>
      </c>
      <c r="R8" s="5" t="s">
        <v>103</v>
      </c>
      <c r="S8" s="5">
        <v>10.0</v>
      </c>
      <c r="T8" s="5">
        <v>1550.0</v>
      </c>
      <c r="U8" s="5">
        <v>45.0</v>
      </c>
      <c r="V8" s="5"/>
      <c r="W8" s="5" t="s">
        <v>70</v>
      </c>
      <c r="X8" s="5"/>
      <c r="Y8" s="6" t="s">
        <v>113</v>
      </c>
      <c r="Z8" s="5" t="s">
        <v>114</v>
      </c>
      <c r="AA8" s="5" t="s">
        <v>72</v>
      </c>
      <c r="AB8" s="5"/>
      <c r="AC8" s="5" t="s">
        <v>51</v>
      </c>
      <c r="AD8" s="5" t="s">
        <v>51</v>
      </c>
      <c r="AE8" s="5" t="s">
        <v>62</v>
      </c>
      <c r="AF8" s="6" t="s">
        <v>115</v>
      </c>
      <c r="AG8" s="6" t="str">
        <f t="shared" si="1"/>
        <v>24.591592,121.857978</v>
      </c>
      <c r="AH8" s="6"/>
      <c r="AI8" s="5" t="s">
        <v>96</v>
      </c>
      <c r="AJ8" s="5" t="s">
        <v>116</v>
      </c>
    </row>
    <row r="9" ht="79.5" customHeight="1">
      <c r="A9" s="5" t="s">
        <v>36</v>
      </c>
      <c r="B9" s="5" t="s">
        <v>117</v>
      </c>
      <c r="C9" s="5" t="s">
        <v>38</v>
      </c>
      <c r="D9" s="5" t="s">
        <v>39</v>
      </c>
      <c r="E9" s="5" t="s">
        <v>40</v>
      </c>
      <c r="F9" s="5" t="s">
        <v>41</v>
      </c>
      <c r="G9" s="5" t="s">
        <v>88</v>
      </c>
      <c r="H9" s="5" t="s">
        <v>118</v>
      </c>
      <c r="I9" s="5" t="s">
        <v>119</v>
      </c>
      <c r="J9" s="5" t="s">
        <v>45</v>
      </c>
      <c r="K9" s="5" t="s">
        <v>101</v>
      </c>
      <c r="L9" s="5">
        <v>121.866</v>
      </c>
      <c r="M9" s="5">
        <v>24.564</v>
      </c>
      <c r="N9" s="5">
        <v>121.866</v>
      </c>
      <c r="O9" s="5">
        <v>24.564</v>
      </c>
      <c r="P9" s="6" t="s">
        <v>120</v>
      </c>
      <c r="Q9" s="5" t="s">
        <v>48</v>
      </c>
      <c r="R9" s="5" t="s">
        <v>103</v>
      </c>
      <c r="S9" s="5">
        <v>30.0</v>
      </c>
      <c r="T9" s="5">
        <v>30.0</v>
      </c>
      <c r="U9" s="5">
        <v>45.0</v>
      </c>
      <c r="V9" s="5"/>
      <c r="W9" s="5" t="s">
        <v>70</v>
      </c>
      <c r="X9" s="5"/>
      <c r="Y9" s="6" t="s">
        <v>121</v>
      </c>
      <c r="Z9" s="5" t="s">
        <v>122</v>
      </c>
      <c r="AA9" s="5"/>
      <c r="AB9" s="5"/>
      <c r="AC9" s="5" t="s">
        <v>51</v>
      </c>
      <c r="AD9" s="5" t="s">
        <v>51</v>
      </c>
      <c r="AE9" s="5" t="s">
        <v>62</v>
      </c>
      <c r="AF9" s="6" t="s">
        <v>123</v>
      </c>
      <c r="AG9" s="6" t="str">
        <f t="shared" si="1"/>
        <v>24.564,121.866</v>
      </c>
      <c r="AH9" s="9" t="s">
        <v>124</v>
      </c>
      <c r="AI9" s="5" t="s">
        <v>85</v>
      </c>
      <c r="AJ9" s="5" t="s">
        <v>125</v>
      </c>
    </row>
    <row r="10" ht="79.5" customHeight="1">
      <c r="A10" s="5" t="s">
        <v>36</v>
      </c>
      <c r="B10" s="5" t="s">
        <v>126</v>
      </c>
      <c r="C10" s="5" t="s">
        <v>38</v>
      </c>
      <c r="D10" s="5" t="s">
        <v>39</v>
      </c>
      <c r="E10" s="5" t="s">
        <v>40</v>
      </c>
      <c r="F10" s="5" t="s">
        <v>41</v>
      </c>
      <c r="G10" s="5" t="s">
        <v>88</v>
      </c>
      <c r="H10" s="5" t="s">
        <v>127</v>
      </c>
      <c r="I10" s="5" t="s">
        <v>127</v>
      </c>
      <c r="J10" s="5" t="s">
        <v>45</v>
      </c>
      <c r="K10" s="5" t="s">
        <v>101</v>
      </c>
      <c r="L10" s="5">
        <v>121.861</v>
      </c>
      <c r="M10" s="5">
        <v>24.582</v>
      </c>
      <c r="N10" s="5">
        <v>121.861</v>
      </c>
      <c r="O10" s="5">
        <v>24.582</v>
      </c>
      <c r="P10" s="6" t="s">
        <v>128</v>
      </c>
      <c r="Q10" s="5" t="s">
        <v>48</v>
      </c>
      <c r="R10" s="5" t="s">
        <v>103</v>
      </c>
      <c r="S10" s="5">
        <v>100.0</v>
      </c>
      <c r="T10" s="5">
        <v>80.0</v>
      </c>
      <c r="U10" s="5">
        <v>60.0</v>
      </c>
      <c r="V10" s="5"/>
      <c r="W10" s="5" t="s">
        <v>70</v>
      </c>
      <c r="X10" s="5"/>
      <c r="Y10" s="6" t="s">
        <v>129</v>
      </c>
      <c r="Z10" s="5" t="s">
        <v>122</v>
      </c>
      <c r="AA10" s="5"/>
      <c r="AB10" s="5"/>
      <c r="AC10" s="5" t="s">
        <v>51</v>
      </c>
      <c r="AD10" s="5" t="s">
        <v>51</v>
      </c>
      <c r="AE10" s="5" t="s">
        <v>62</v>
      </c>
      <c r="AF10" s="6" t="s">
        <v>130</v>
      </c>
      <c r="AG10" s="6" t="str">
        <f t="shared" si="1"/>
        <v>24.582,121.861</v>
      </c>
      <c r="AH10" s="9" t="s">
        <v>131</v>
      </c>
      <c r="AI10" s="5" t="s">
        <v>85</v>
      </c>
      <c r="AJ10" s="5" t="s">
        <v>132</v>
      </c>
    </row>
    <row r="11" ht="79.5" customHeight="1">
      <c r="A11" s="5" t="s">
        <v>36</v>
      </c>
      <c r="B11" s="5" t="s">
        <v>133</v>
      </c>
      <c r="C11" s="5" t="s">
        <v>38</v>
      </c>
      <c r="D11" s="5" t="s">
        <v>39</v>
      </c>
      <c r="E11" s="5" t="s">
        <v>40</v>
      </c>
      <c r="F11" s="5" t="s">
        <v>41</v>
      </c>
      <c r="G11" s="5" t="s">
        <v>88</v>
      </c>
      <c r="H11" s="5" t="s">
        <v>134</v>
      </c>
      <c r="I11" s="5" t="s">
        <v>135</v>
      </c>
      <c r="J11" s="5" t="s">
        <v>45</v>
      </c>
      <c r="K11" s="5" t="s">
        <v>46</v>
      </c>
      <c r="L11" s="5">
        <v>121.86091</v>
      </c>
      <c r="M11" s="5">
        <v>24.578443</v>
      </c>
      <c r="N11" s="5">
        <v>121.866502</v>
      </c>
      <c r="O11" s="5">
        <v>24.576177</v>
      </c>
      <c r="P11" s="6" t="s">
        <v>136</v>
      </c>
      <c r="Q11" s="5" t="s">
        <v>92</v>
      </c>
      <c r="R11" s="5" t="s">
        <v>103</v>
      </c>
      <c r="S11" s="5">
        <v>15.0</v>
      </c>
      <c r="T11" s="5">
        <v>600.0</v>
      </c>
      <c r="U11" s="5">
        <v>45.0</v>
      </c>
      <c r="V11" s="5"/>
      <c r="W11" s="5" t="s">
        <v>137</v>
      </c>
      <c r="X11" s="5" t="s">
        <v>138</v>
      </c>
      <c r="Y11" s="6" t="s">
        <v>139</v>
      </c>
      <c r="Z11" s="5" t="s">
        <v>114</v>
      </c>
      <c r="AA11" s="5" t="s">
        <v>72</v>
      </c>
      <c r="AB11" s="5"/>
      <c r="AC11" s="5" t="s">
        <v>51</v>
      </c>
      <c r="AD11" s="5" t="s">
        <v>51</v>
      </c>
      <c r="AE11" s="5" t="s">
        <v>62</v>
      </c>
      <c r="AF11" s="6" t="s">
        <v>140</v>
      </c>
      <c r="AG11" s="6" t="str">
        <f t="shared" si="1"/>
        <v>24.578443,121.86091</v>
      </c>
      <c r="AH11" s="6"/>
      <c r="AI11" s="5" t="s">
        <v>96</v>
      </c>
      <c r="AJ11" s="5" t="s">
        <v>141</v>
      </c>
    </row>
    <row r="12" ht="79.5" customHeight="1">
      <c r="A12" s="5" t="s">
        <v>36</v>
      </c>
      <c r="B12" s="5" t="s">
        <v>142</v>
      </c>
      <c r="C12" s="5" t="s">
        <v>38</v>
      </c>
      <c r="D12" s="5" t="s">
        <v>39</v>
      </c>
      <c r="E12" s="5" t="s">
        <v>40</v>
      </c>
      <c r="F12" s="5" t="s">
        <v>41</v>
      </c>
      <c r="G12" s="5" t="s">
        <v>88</v>
      </c>
      <c r="H12" s="5" t="s">
        <v>143</v>
      </c>
      <c r="I12" s="5" t="s">
        <v>144</v>
      </c>
      <c r="J12" s="5" t="s">
        <v>45</v>
      </c>
      <c r="K12" s="5" t="s">
        <v>46</v>
      </c>
      <c r="L12" s="5">
        <v>121.866348</v>
      </c>
      <c r="M12" s="5">
        <v>24.575748</v>
      </c>
      <c r="N12" s="5">
        <v>121.866509</v>
      </c>
      <c r="O12" s="5">
        <v>24.56235</v>
      </c>
      <c r="P12" s="6" t="s">
        <v>145</v>
      </c>
      <c r="Q12" s="5" t="s">
        <v>92</v>
      </c>
      <c r="R12" s="5" t="s">
        <v>103</v>
      </c>
      <c r="S12" s="5">
        <v>80.0</v>
      </c>
      <c r="T12" s="5">
        <v>1320.0</v>
      </c>
      <c r="U12" s="5">
        <v>70.0</v>
      </c>
      <c r="V12" s="5"/>
      <c r="W12" s="5" t="s">
        <v>137</v>
      </c>
      <c r="X12" s="5"/>
      <c r="Y12" s="6" t="s">
        <v>146</v>
      </c>
      <c r="Z12" s="5" t="s">
        <v>147</v>
      </c>
      <c r="AA12" s="5" t="s">
        <v>72</v>
      </c>
      <c r="AB12" s="5"/>
      <c r="AC12" s="5" t="s">
        <v>51</v>
      </c>
      <c r="AD12" s="5" t="s">
        <v>51</v>
      </c>
      <c r="AE12" s="5" t="s">
        <v>62</v>
      </c>
      <c r="AF12" s="6" t="s">
        <v>148</v>
      </c>
      <c r="AG12" s="6" t="str">
        <f t="shared" si="1"/>
        <v>24.575748,121.866348</v>
      </c>
      <c r="AH12" s="6"/>
      <c r="AI12" s="5" t="s">
        <v>96</v>
      </c>
      <c r="AJ12" s="5" t="s">
        <v>149</v>
      </c>
    </row>
    <row r="13" ht="79.5" customHeight="1">
      <c r="A13" s="5" t="s">
        <v>36</v>
      </c>
      <c r="B13" s="5" t="s">
        <v>150</v>
      </c>
      <c r="C13" s="5" t="s">
        <v>38</v>
      </c>
      <c r="D13" s="5" t="s">
        <v>39</v>
      </c>
      <c r="E13" s="5" t="s">
        <v>40</v>
      </c>
      <c r="F13" s="5" t="s">
        <v>41</v>
      </c>
      <c r="G13" s="5" t="s">
        <v>88</v>
      </c>
      <c r="H13" s="5" t="s">
        <v>151</v>
      </c>
      <c r="I13" s="5" t="s">
        <v>152</v>
      </c>
      <c r="J13" s="5" t="s">
        <v>59</v>
      </c>
      <c r="K13" s="5" t="s">
        <v>46</v>
      </c>
      <c r="L13" s="5">
        <v>121.865936</v>
      </c>
      <c r="M13" s="5">
        <v>24.566078</v>
      </c>
      <c r="N13" s="5">
        <v>121.865887</v>
      </c>
      <c r="O13" s="5">
        <v>24.558774</v>
      </c>
      <c r="P13" s="6" t="s">
        <v>153</v>
      </c>
      <c r="Q13" s="5" t="s">
        <v>92</v>
      </c>
      <c r="R13" s="5" t="s">
        <v>103</v>
      </c>
      <c r="S13" s="5">
        <v>30.0</v>
      </c>
      <c r="T13" s="5">
        <v>970.0</v>
      </c>
      <c r="U13" s="5">
        <v>40.0</v>
      </c>
      <c r="V13" s="5"/>
      <c r="W13" s="5" t="s">
        <v>137</v>
      </c>
      <c r="X13" s="5" t="s">
        <v>138</v>
      </c>
      <c r="Y13" s="6" t="s">
        <v>154</v>
      </c>
      <c r="Z13" s="5" t="s">
        <v>155</v>
      </c>
      <c r="AA13" s="5"/>
      <c r="AB13" s="5"/>
      <c r="AC13" s="5" t="s">
        <v>51</v>
      </c>
      <c r="AD13" s="5" t="s">
        <v>51</v>
      </c>
      <c r="AE13" s="5" t="s">
        <v>62</v>
      </c>
      <c r="AF13" s="6" t="s">
        <v>156</v>
      </c>
      <c r="AG13" s="6" t="str">
        <f t="shared" si="1"/>
        <v>24.566078,121.865936</v>
      </c>
      <c r="AH13" s="6"/>
      <c r="AI13" s="5" t="s">
        <v>96</v>
      </c>
      <c r="AJ13" s="5" t="s">
        <v>157</v>
      </c>
    </row>
    <row r="14" ht="79.5" customHeight="1">
      <c r="A14" s="5" t="s">
        <v>36</v>
      </c>
      <c r="B14" s="5" t="s">
        <v>158</v>
      </c>
      <c r="C14" s="5" t="s">
        <v>38</v>
      </c>
      <c r="D14" s="5" t="s">
        <v>39</v>
      </c>
      <c r="E14" s="5" t="s">
        <v>40</v>
      </c>
      <c r="F14" s="5" t="s">
        <v>41</v>
      </c>
      <c r="G14" s="5" t="s">
        <v>88</v>
      </c>
      <c r="H14" s="5" t="s">
        <v>152</v>
      </c>
      <c r="I14" s="5" t="s">
        <v>159</v>
      </c>
      <c r="J14" s="5" t="s">
        <v>59</v>
      </c>
      <c r="K14" s="5" t="s">
        <v>46</v>
      </c>
      <c r="L14" s="5">
        <v>121.866322</v>
      </c>
      <c r="M14" s="5">
        <v>24.559389</v>
      </c>
      <c r="N14" s="5">
        <v>121.865479</v>
      </c>
      <c r="O14" s="5">
        <v>24.556833</v>
      </c>
      <c r="P14" s="6" t="s">
        <v>160</v>
      </c>
      <c r="Q14" s="5" t="s">
        <v>92</v>
      </c>
      <c r="R14" s="5" t="s">
        <v>103</v>
      </c>
      <c r="S14" s="5">
        <v>10.0</v>
      </c>
      <c r="T14" s="5">
        <v>350.0</v>
      </c>
      <c r="U14" s="5">
        <v>35.0</v>
      </c>
      <c r="V14" s="5"/>
      <c r="W14" s="5" t="s">
        <v>50</v>
      </c>
      <c r="X14" s="5"/>
      <c r="Y14" s="6" t="s">
        <v>93</v>
      </c>
      <c r="Z14" s="5" t="s">
        <v>94</v>
      </c>
      <c r="AA14" s="5" t="s">
        <v>72</v>
      </c>
      <c r="AB14" s="5"/>
      <c r="AC14" s="5" t="s">
        <v>51</v>
      </c>
      <c r="AD14" s="5" t="s">
        <v>51</v>
      </c>
      <c r="AE14" s="5" t="s">
        <v>62</v>
      </c>
      <c r="AF14" s="6" t="s">
        <v>161</v>
      </c>
      <c r="AG14" s="6" t="str">
        <f t="shared" si="1"/>
        <v>24.559389,121.866322</v>
      </c>
      <c r="AH14" s="6"/>
      <c r="AI14" s="5" t="s">
        <v>96</v>
      </c>
      <c r="AJ14" s="5" t="s">
        <v>162</v>
      </c>
    </row>
    <row r="15" ht="79.5" customHeight="1">
      <c r="A15" s="5" t="s">
        <v>36</v>
      </c>
      <c r="B15" s="5" t="s">
        <v>163</v>
      </c>
      <c r="C15" s="5" t="s">
        <v>38</v>
      </c>
      <c r="D15" s="5" t="s">
        <v>39</v>
      </c>
      <c r="E15" s="5" t="s">
        <v>40</v>
      </c>
      <c r="F15" s="5" t="s">
        <v>41</v>
      </c>
      <c r="G15" s="5" t="s">
        <v>88</v>
      </c>
      <c r="H15" s="5" t="s">
        <v>164</v>
      </c>
      <c r="I15" s="5" t="s">
        <v>165</v>
      </c>
      <c r="J15" s="5" t="s">
        <v>59</v>
      </c>
      <c r="K15" s="5" t="s">
        <v>46</v>
      </c>
      <c r="L15" s="5">
        <v>121.865298</v>
      </c>
      <c r="M15" s="5">
        <v>24.554587</v>
      </c>
      <c r="N15" s="5">
        <v>121.866444</v>
      </c>
      <c r="O15" s="5">
        <v>24.551563</v>
      </c>
      <c r="P15" s="6" t="s">
        <v>166</v>
      </c>
      <c r="Q15" s="5" t="s">
        <v>92</v>
      </c>
      <c r="R15" s="5" t="s">
        <v>103</v>
      </c>
      <c r="S15" s="5">
        <v>35.0</v>
      </c>
      <c r="T15" s="5">
        <v>320.0</v>
      </c>
      <c r="U15" s="5">
        <v>45.0</v>
      </c>
      <c r="V15" s="5"/>
      <c r="W15" s="5" t="s">
        <v>70</v>
      </c>
      <c r="X15" s="5"/>
      <c r="Y15" s="6" t="s">
        <v>167</v>
      </c>
      <c r="Z15" s="5" t="s">
        <v>168</v>
      </c>
      <c r="AA15" s="5" t="s">
        <v>72</v>
      </c>
      <c r="AB15" s="5"/>
      <c r="AC15" s="5" t="s">
        <v>51</v>
      </c>
      <c r="AD15" s="5" t="s">
        <v>51</v>
      </c>
      <c r="AE15" s="5" t="s">
        <v>169</v>
      </c>
      <c r="AF15" s="6" t="s">
        <v>170</v>
      </c>
      <c r="AG15" s="6" t="str">
        <f t="shared" si="1"/>
        <v>24.554587,121.865298</v>
      </c>
      <c r="AH15" s="6"/>
      <c r="AI15" s="5" t="s">
        <v>96</v>
      </c>
      <c r="AJ15" s="5" t="s">
        <v>171</v>
      </c>
    </row>
    <row r="16" ht="79.5" customHeight="1">
      <c r="A16" s="5" t="s">
        <v>36</v>
      </c>
      <c r="B16" s="5" t="s">
        <v>172</v>
      </c>
      <c r="C16" s="5" t="s">
        <v>38</v>
      </c>
      <c r="D16" s="5" t="s">
        <v>39</v>
      </c>
      <c r="E16" s="5" t="s">
        <v>40</v>
      </c>
      <c r="F16" s="5" t="s">
        <v>41</v>
      </c>
      <c r="G16" s="5" t="s">
        <v>88</v>
      </c>
      <c r="H16" s="5" t="s">
        <v>43</v>
      </c>
      <c r="I16" s="5" t="s">
        <v>173</v>
      </c>
      <c r="J16" s="5" t="s">
        <v>45</v>
      </c>
      <c r="K16" s="5" t="s">
        <v>46</v>
      </c>
      <c r="L16" s="5">
        <v>121.866531</v>
      </c>
      <c r="M16" s="5">
        <v>24.552773</v>
      </c>
      <c r="N16" s="5">
        <v>121.867421</v>
      </c>
      <c r="O16" s="5">
        <v>24.547576</v>
      </c>
      <c r="P16" s="6" t="s">
        <v>174</v>
      </c>
      <c r="Q16" s="5" t="s">
        <v>92</v>
      </c>
      <c r="R16" s="5" t="s">
        <v>103</v>
      </c>
      <c r="S16" s="5">
        <v>60.0</v>
      </c>
      <c r="T16" s="5">
        <v>600.0</v>
      </c>
      <c r="U16" s="5">
        <v>60.0</v>
      </c>
      <c r="V16" s="5"/>
      <c r="W16" s="5" t="s">
        <v>137</v>
      </c>
      <c r="X16" s="5" t="s">
        <v>175</v>
      </c>
      <c r="Y16" s="6" t="s">
        <v>176</v>
      </c>
      <c r="Z16" s="5" t="s">
        <v>114</v>
      </c>
      <c r="AA16" s="5" t="s">
        <v>72</v>
      </c>
      <c r="AB16" s="5"/>
      <c r="AC16" s="5" t="s">
        <v>51</v>
      </c>
      <c r="AD16" s="5" t="s">
        <v>51</v>
      </c>
      <c r="AE16" s="5" t="s">
        <v>169</v>
      </c>
      <c r="AF16" s="6" t="s">
        <v>177</v>
      </c>
      <c r="AG16" s="6" t="str">
        <f t="shared" si="1"/>
        <v>24.552773,121.866531</v>
      </c>
      <c r="AH16" s="9" t="s">
        <v>178</v>
      </c>
      <c r="AI16" s="5" t="s">
        <v>96</v>
      </c>
      <c r="AJ16" s="5" t="s">
        <v>179</v>
      </c>
    </row>
    <row r="17" ht="79.5" customHeight="1">
      <c r="A17" s="5" t="s">
        <v>36</v>
      </c>
      <c r="B17" s="5" t="s">
        <v>180</v>
      </c>
      <c r="C17" s="5" t="s">
        <v>38</v>
      </c>
      <c r="D17" s="5" t="s">
        <v>39</v>
      </c>
      <c r="E17" s="5" t="s">
        <v>40</v>
      </c>
      <c r="F17" s="5" t="s">
        <v>41</v>
      </c>
      <c r="G17" s="5" t="s">
        <v>88</v>
      </c>
      <c r="H17" s="5" t="s">
        <v>181</v>
      </c>
      <c r="I17" s="5" t="s">
        <v>182</v>
      </c>
      <c r="J17" s="5" t="s">
        <v>59</v>
      </c>
      <c r="K17" s="5" t="s">
        <v>101</v>
      </c>
      <c r="L17" s="5">
        <v>121.8667815</v>
      </c>
      <c r="M17" s="5">
        <v>24.5495574</v>
      </c>
      <c r="N17" s="5">
        <v>121.8669006</v>
      </c>
      <c r="O17" s="5">
        <v>24.5481758</v>
      </c>
      <c r="P17" s="6" t="s">
        <v>183</v>
      </c>
      <c r="Q17" s="5" t="s">
        <v>92</v>
      </c>
      <c r="R17" s="5" t="s">
        <v>184</v>
      </c>
      <c r="S17" s="5">
        <v>30.0</v>
      </c>
      <c r="T17" s="5">
        <v>0.0</v>
      </c>
      <c r="U17" s="5">
        <v>75.0</v>
      </c>
      <c r="V17" s="5" t="s">
        <v>49</v>
      </c>
      <c r="W17" s="5" t="s">
        <v>137</v>
      </c>
      <c r="X17" s="5"/>
      <c r="Y17" s="6" t="s">
        <v>185</v>
      </c>
      <c r="Z17" s="5" t="s">
        <v>186</v>
      </c>
      <c r="AA17" s="5" t="s">
        <v>72</v>
      </c>
      <c r="AB17" s="5"/>
      <c r="AC17" s="5" t="s">
        <v>51</v>
      </c>
      <c r="AD17" s="5" t="s">
        <v>51</v>
      </c>
      <c r="AE17" s="5" t="s">
        <v>169</v>
      </c>
      <c r="AF17" s="6" t="s">
        <v>187</v>
      </c>
      <c r="AG17" s="6" t="str">
        <f t="shared" si="1"/>
        <v>24.5495574,121.8667815</v>
      </c>
      <c r="AH17" s="6"/>
      <c r="AI17" s="5" t="s">
        <v>96</v>
      </c>
      <c r="AJ17" s="5" t="s">
        <v>188</v>
      </c>
    </row>
    <row r="18" ht="79.5" customHeight="1">
      <c r="A18" s="5" t="s">
        <v>36</v>
      </c>
      <c r="B18" s="5" t="s">
        <v>189</v>
      </c>
      <c r="C18" s="5" t="s">
        <v>38</v>
      </c>
      <c r="D18" s="5" t="s">
        <v>39</v>
      </c>
      <c r="E18" s="5" t="s">
        <v>40</v>
      </c>
      <c r="F18" s="5" t="s">
        <v>41</v>
      </c>
      <c r="G18" s="5" t="s">
        <v>88</v>
      </c>
      <c r="H18" s="5" t="s">
        <v>173</v>
      </c>
      <c r="I18" s="5" t="s">
        <v>190</v>
      </c>
      <c r="J18" s="5" t="s">
        <v>45</v>
      </c>
      <c r="K18" s="5" t="s">
        <v>46</v>
      </c>
      <c r="L18" s="5">
        <v>121.867421</v>
      </c>
      <c r="M18" s="5">
        <v>24.547576</v>
      </c>
      <c r="N18" s="5">
        <v>121.867405</v>
      </c>
      <c r="O18" s="5">
        <v>24.539637</v>
      </c>
      <c r="P18" s="6" t="s">
        <v>191</v>
      </c>
      <c r="Q18" s="5" t="s">
        <v>92</v>
      </c>
      <c r="R18" s="5" t="s">
        <v>192</v>
      </c>
      <c r="S18" s="5">
        <v>200.0</v>
      </c>
      <c r="T18" s="5">
        <v>970.0</v>
      </c>
      <c r="U18" s="5">
        <v>70.0</v>
      </c>
      <c r="V18" s="5"/>
      <c r="W18" s="5" t="s">
        <v>137</v>
      </c>
      <c r="X18" s="5" t="s">
        <v>138</v>
      </c>
      <c r="Y18" s="6" t="s">
        <v>193</v>
      </c>
      <c r="Z18" s="5" t="s">
        <v>194</v>
      </c>
      <c r="AA18" s="5" t="s">
        <v>72</v>
      </c>
      <c r="AB18" s="5"/>
      <c r="AC18" s="5" t="s">
        <v>51</v>
      </c>
      <c r="AD18" s="5" t="s">
        <v>51</v>
      </c>
      <c r="AE18" s="5" t="s">
        <v>195</v>
      </c>
      <c r="AF18" s="6" t="s">
        <v>196</v>
      </c>
      <c r="AG18" s="6" t="str">
        <f t="shared" si="1"/>
        <v>24.547576,121.867421</v>
      </c>
      <c r="AH18" s="6"/>
      <c r="AI18" s="5" t="s">
        <v>96</v>
      </c>
      <c r="AJ18" s="5" t="s">
        <v>197</v>
      </c>
    </row>
    <row r="19" ht="79.5" customHeight="1">
      <c r="A19" s="5" t="s">
        <v>36</v>
      </c>
      <c r="B19" s="5" t="s">
        <v>198</v>
      </c>
      <c r="C19" s="5" t="s">
        <v>38</v>
      </c>
      <c r="D19" s="5" t="s">
        <v>39</v>
      </c>
      <c r="E19" s="5" t="s">
        <v>40</v>
      </c>
      <c r="F19" s="5" t="s">
        <v>41</v>
      </c>
      <c r="G19" s="5" t="s">
        <v>88</v>
      </c>
      <c r="H19" s="5" t="s">
        <v>199</v>
      </c>
      <c r="I19" s="5" t="s">
        <v>200</v>
      </c>
      <c r="J19" s="5" t="s">
        <v>59</v>
      </c>
      <c r="K19" s="5" t="s">
        <v>101</v>
      </c>
      <c r="L19" s="5">
        <v>121.867725</v>
      </c>
      <c r="M19" s="5">
        <v>24.539999</v>
      </c>
      <c r="N19" s="5">
        <v>121.867579</v>
      </c>
      <c r="O19" s="5">
        <v>24.539758</v>
      </c>
      <c r="P19" s="6" t="s">
        <v>80</v>
      </c>
      <c r="Q19" s="5" t="s">
        <v>92</v>
      </c>
      <c r="R19" s="5" t="s">
        <v>103</v>
      </c>
      <c r="S19" s="5">
        <v>15.0</v>
      </c>
      <c r="T19" s="5">
        <v>32.0</v>
      </c>
      <c r="U19" s="5">
        <v>70.0</v>
      </c>
      <c r="V19" s="5"/>
      <c r="W19" s="5" t="s">
        <v>50</v>
      </c>
      <c r="X19" s="5"/>
      <c r="Y19" s="6" t="s">
        <v>201</v>
      </c>
      <c r="Z19" s="5" t="s">
        <v>202</v>
      </c>
      <c r="AA19" s="5" t="s">
        <v>72</v>
      </c>
      <c r="AB19" s="5"/>
      <c r="AC19" s="5" t="s">
        <v>51</v>
      </c>
      <c r="AD19" s="5" t="s">
        <v>51</v>
      </c>
      <c r="AE19" s="5" t="s">
        <v>195</v>
      </c>
      <c r="AF19" s="6" t="s">
        <v>203</v>
      </c>
      <c r="AG19" s="6" t="str">
        <f t="shared" si="1"/>
        <v>24.539999,121.867725</v>
      </c>
      <c r="AH19" s="6"/>
      <c r="AI19" s="5" t="s">
        <v>96</v>
      </c>
      <c r="AJ19" s="5" t="s">
        <v>204</v>
      </c>
    </row>
    <row r="20" ht="79.5" customHeight="1">
      <c r="A20" s="5" t="s">
        <v>36</v>
      </c>
      <c r="B20" s="5" t="s">
        <v>205</v>
      </c>
      <c r="C20" s="5" t="s">
        <v>38</v>
      </c>
      <c r="D20" s="5" t="s">
        <v>39</v>
      </c>
      <c r="E20" s="5" t="s">
        <v>40</v>
      </c>
      <c r="F20" s="5" t="s">
        <v>41</v>
      </c>
      <c r="G20" s="5" t="s">
        <v>88</v>
      </c>
      <c r="H20" s="5" t="s">
        <v>206</v>
      </c>
      <c r="I20" s="5" t="s">
        <v>207</v>
      </c>
      <c r="J20" s="5" t="s">
        <v>59</v>
      </c>
      <c r="K20" s="5" t="s">
        <v>101</v>
      </c>
      <c r="L20" s="5">
        <v>121.866928</v>
      </c>
      <c r="M20" s="5">
        <v>24.539352</v>
      </c>
      <c r="N20" s="5">
        <v>121.866726</v>
      </c>
      <c r="O20" s="5">
        <v>24.53914</v>
      </c>
      <c r="P20" s="6" t="s">
        <v>208</v>
      </c>
      <c r="Q20" s="5" t="s">
        <v>92</v>
      </c>
      <c r="R20" s="5" t="s">
        <v>103</v>
      </c>
      <c r="S20" s="5">
        <v>25.0</v>
      </c>
      <c r="T20" s="5">
        <v>30.0</v>
      </c>
      <c r="U20" s="5">
        <v>45.0</v>
      </c>
      <c r="V20" s="5"/>
      <c r="W20" s="5" t="s">
        <v>50</v>
      </c>
      <c r="X20" s="5"/>
      <c r="Y20" s="6" t="s">
        <v>93</v>
      </c>
      <c r="Z20" s="5" t="s">
        <v>94</v>
      </c>
      <c r="AA20" s="5" t="s">
        <v>72</v>
      </c>
      <c r="AB20" s="5"/>
      <c r="AC20" s="5" t="s">
        <v>51</v>
      </c>
      <c r="AD20" s="5" t="s">
        <v>51</v>
      </c>
      <c r="AE20" s="5" t="s">
        <v>195</v>
      </c>
      <c r="AF20" s="6" t="s">
        <v>209</v>
      </c>
      <c r="AG20" s="6" t="str">
        <f t="shared" si="1"/>
        <v>24.539352,121.866928</v>
      </c>
      <c r="AH20" s="6"/>
      <c r="AI20" s="5" t="s">
        <v>96</v>
      </c>
      <c r="AJ20" s="5" t="s">
        <v>210</v>
      </c>
    </row>
    <row r="21" ht="79.5" customHeight="1">
      <c r="A21" s="5" t="s">
        <v>36</v>
      </c>
      <c r="B21" s="5" t="s">
        <v>211</v>
      </c>
      <c r="C21" s="5" t="s">
        <v>38</v>
      </c>
      <c r="D21" s="5" t="s">
        <v>39</v>
      </c>
      <c r="E21" s="5" t="s">
        <v>40</v>
      </c>
      <c r="F21" s="5" t="s">
        <v>41</v>
      </c>
      <c r="G21" s="5" t="s">
        <v>88</v>
      </c>
      <c r="H21" s="5" t="s">
        <v>190</v>
      </c>
      <c r="I21" s="5" t="s">
        <v>212</v>
      </c>
      <c r="J21" s="5" t="s">
        <v>45</v>
      </c>
      <c r="K21" s="5" t="s">
        <v>46</v>
      </c>
      <c r="L21" s="5">
        <v>121.8661</v>
      </c>
      <c r="M21" s="5">
        <v>24.539034</v>
      </c>
      <c r="N21" s="5">
        <v>121.866386</v>
      </c>
      <c r="O21" s="5">
        <v>24.532971</v>
      </c>
      <c r="P21" s="6" t="s">
        <v>213</v>
      </c>
      <c r="Q21" s="5" t="s">
        <v>92</v>
      </c>
      <c r="R21" s="5" t="s">
        <v>192</v>
      </c>
      <c r="S21" s="5">
        <v>30.0</v>
      </c>
      <c r="T21" s="5">
        <v>1080.0</v>
      </c>
      <c r="U21" s="5">
        <v>45.0</v>
      </c>
      <c r="V21" s="5"/>
      <c r="W21" s="5" t="s">
        <v>137</v>
      </c>
      <c r="X21" s="5"/>
      <c r="Y21" s="6" t="s">
        <v>214</v>
      </c>
      <c r="Z21" s="5" t="s">
        <v>215</v>
      </c>
      <c r="AA21" s="5" t="s">
        <v>216</v>
      </c>
      <c r="AB21" s="5"/>
      <c r="AC21" s="5" t="s">
        <v>51</v>
      </c>
      <c r="AD21" s="5" t="s">
        <v>51</v>
      </c>
      <c r="AE21" s="5" t="s">
        <v>62</v>
      </c>
      <c r="AF21" s="6" t="s">
        <v>217</v>
      </c>
      <c r="AG21" s="6" t="str">
        <f t="shared" si="1"/>
        <v>24.539034,121.8661</v>
      </c>
      <c r="AH21" s="6"/>
      <c r="AI21" s="5" t="s">
        <v>96</v>
      </c>
      <c r="AJ21" s="5" t="s">
        <v>218</v>
      </c>
    </row>
    <row r="22" ht="79.5" customHeight="1">
      <c r="A22" s="5" t="s">
        <v>36</v>
      </c>
      <c r="B22" s="5" t="s">
        <v>219</v>
      </c>
      <c r="C22" s="5" t="s">
        <v>38</v>
      </c>
      <c r="D22" s="5" t="s">
        <v>39</v>
      </c>
      <c r="E22" s="5" t="s">
        <v>40</v>
      </c>
      <c r="F22" s="5" t="s">
        <v>41</v>
      </c>
      <c r="G22" s="5" t="s">
        <v>88</v>
      </c>
      <c r="H22" s="5" t="s">
        <v>220</v>
      </c>
      <c r="I22" s="5" t="s">
        <v>221</v>
      </c>
      <c r="J22" s="5" t="s">
        <v>59</v>
      </c>
      <c r="K22" s="5" t="s">
        <v>101</v>
      </c>
      <c r="L22" s="5">
        <v>121.8676736</v>
      </c>
      <c r="M22" s="5">
        <v>24.5353983</v>
      </c>
      <c r="N22" s="5">
        <v>121.8680845</v>
      </c>
      <c r="O22" s="5">
        <v>24.5338714</v>
      </c>
      <c r="P22" s="6" t="s">
        <v>222</v>
      </c>
      <c r="Q22" s="5" t="s">
        <v>92</v>
      </c>
      <c r="R22" s="5" t="s">
        <v>103</v>
      </c>
      <c r="S22" s="5">
        <v>25.0</v>
      </c>
      <c r="T22" s="5">
        <v>30.0</v>
      </c>
      <c r="U22" s="5">
        <v>45.0</v>
      </c>
      <c r="V22" s="5"/>
      <c r="W22" s="5" t="s">
        <v>50</v>
      </c>
      <c r="X22" s="5"/>
      <c r="Y22" s="6" t="s">
        <v>223</v>
      </c>
      <c r="Z22" s="5" t="s">
        <v>224</v>
      </c>
      <c r="AA22" s="5"/>
      <c r="AB22" s="5"/>
      <c r="AC22" s="5" t="s">
        <v>51</v>
      </c>
      <c r="AD22" s="5" t="s">
        <v>51</v>
      </c>
      <c r="AE22" s="5" t="s">
        <v>195</v>
      </c>
      <c r="AF22" s="6" t="s">
        <v>225</v>
      </c>
      <c r="AG22" s="6" t="str">
        <f t="shared" si="1"/>
        <v>24.5353983,121.8676736</v>
      </c>
      <c r="AH22" s="9" t="s">
        <v>226</v>
      </c>
      <c r="AI22" s="5" t="s">
        <v>96</v>
      </c>
      <c r="AJ22" s="5" t="s">
        <v>227</v>
      </c>
    </row>
    <row r="23" ht="79.5" customHeight="1">
      <c r="A23" s="5" t="s">
        <v>36</v>
      </c>
      <c r="B23" s="5" t="s">
        <v>228</v>
      </c>
      <c r="C23" s="5" t="s">
        <v>38</v>
      </c>
      <c r="D23" s="5" t="s">
        <v>39</v>
      </c>
      <c r="E23" s="5" t="s">
        <v>40</v>
      </c>
      <c r="F23" s="5" t="s">
        <v>41</v>
      </c>
      <c r="G23" s="5" t="s">
        <v>88</v>
      </c>
      <c r="H23" s="5" t="s">
        <v>229</v>
      </c>
      <c r="I23" s="5" t="s">
        <v>230</v>
      </c>
      <c r="J23" s="5" t="s">
        <v>59</v>
      </c>
      <c r="K23" s="5" t="s">
        <v>101</v>
      </c>
      <c r="L23" s="5">
        <v>121.8661709</v>
      </c>
      <c r="M23" s="5">
        <v>24.5328862</v>
      </c>
      <c r="N23" s="5">
        <v>121.8637842</v>
      </c>
      <c r="O23" s="5">
        <v>24.5313003</v>
      </c>
      <c r="P23" s="6" t="s">
        <v>231</v>
      </c>
      <c r="Q23" s="5" t="s">
        <v>92</v>
      </c>
      <c r="R23" s="5" t="s">
        <v>103</v>
      </c>
      <c r="S23" s="5">
        <v>200.0</v>
      </c>
      <c r="T23" s="5">
        <v>970.0</v>
      </c>
      <c r="U23" s="5">
        <v>70.0</v>
      </c>
      <c r="V23" s="5"/>
      <c r="W23" s="5" t="s">
        <v>50</v>
      </c>
      <c r="X23" s="5"/>
      <c r="Y23" s="6" t="s">
        <v>232</v>
      </c>
      <c r="Z23" s="5" t="s">
        <v>233</v>
      </c>
      <c r="AA23" s="5"/>
      <c r="AB23" s="5"/>
      <c r="AC23" s="5" t="s">
        <v>51</v>
      </c>
      <c r="AD23" s="5" t="s">
        <v>51</v>
      </c>
      <c r="AE23" s="5" t="s">
        <v>195</v>
      </c>
      <c r="AF23" s="6" t="s">
        <v>234</v>
      </c>
      <c r="AG23" s="6" t="str">
        <f t="shared" si="1"/>
        <v>24.5328862,121.8661709</v>
      </c>
      <c r="AH23" s="6"/>
      <c r="AI23" s="5" t="s">
        <v>96</v>
      </c>
      <c r="AJ23" s="5" t="s">
        <v>235</v>
      </c>
    </row>
    <row r="24" ht="79.5" customHeight="1">
      <c r="A24" s="5" t="s">
        <v>36</v>
      </c>
      <c r="B24" s="5" t="s">
        <v>236</v>
      </c>
      <c r="C24" s="5" t="s">
        <v>38</v>
      </c>
      <c r="D24" s="5" t="s">
        <v>39</v>
      </c>
      <c r="E24" s="5" t="s">
        <v>40</v>
      </c>
      <c r="F24" s="5" t="s">
        <v>41</v>
      </c>
      <c r="G24" s="5" t="s">
        <v>88</v>
      </c>
      <c r="H24" s="5" t="s">
        <v>237</v>
      </c>
      <c r="I24" s="5" t="s">
        <v>238</v>
      </c>
      <c r="J24" s="5" t="s">
        <v>45</v>
      </c>
      <c r="K24" s="5" t="s">
        <v>46</v>
      </c>
      <c r="L24" s="5">
        <v>121.865361</v>
      </c>
      <c r="M24" s="5">
        <v>24.532244</v>
      </c>
      <c r="N24" s="5">
        <v>121.860625</v>
      </c>
      <c r="O24" s="5">
        <v>24.531956</v>
      </c>
      <c r="P24" s="6" t="s">
        <v>239</v>
      </c>
      <c r="Q24" s="5" t="s">
        <v>92</v>
      </c>
      <c r="R24" s="5" t="s">
        <v>103</v>
      </c>
      <c r="S24" s="5">
        <v>40.0</v>
      </c>
      <c r="T24" s="5">
        <v>800.0</v>
      </c>
      <c r="U24" s="5">
        <v>25.0</v>
      </c>
      <c r="V24" s="5"/>
      <c r="W24" s="5" t="s">
        <v>137</v>
      </c>
      <c r="X24" s="5"/>
      <c r="Y24" s="6" t="s">
        <v>240</v>
      </c>
      <c r="Z24" s="5" t="s">
        <v>241</v>
      </c>
      <c r="AA24" s="5"/>
      <c r="AB24" s="5"/>
      <c r="AC24" s="5" t="s">
        <v>51</v>
      </c>
      <c r="AD24" s="5" t="s">
        <v>51</v>
      </c>
      <c r="AE24" s="5" t="s">
        <v>195</v>
      </c>
      <c r="AF24" s="6" t="s">
        <v>242</v>
      </c>
      <c r="AG24" s="6" t="str">
        <f t="shared" si="1"/>
        <v>24.532244,121.865361</v>
      </c>
      <c r="AH24" s="6"/>
      <c r="AI24" s="5" t="s">
        <v>96</v>
      </c>
      <c r="AJ24" s="5" t="s">
        <v>243</v>
      </c>
    </row>
    <row r="25" ht="79.5" customHeight="1">
      <c r="A25" s="5" t="s">
        <v>36</v>
      </c>
      <c r="B25" s="5" t="s">
        <v>244</v>
      </c>
      <c r="C25" s="5" t="s">
        <v>38</v>
      </c>
      <c r="D25" s="5" t="s">
        <v>39</v>
      </c>
      <c r="E25" s="5" t="s">
        <v>40</v>
      </c>
      <c r="F25" s="5" t="s">
        <v>41</v>
      </c>
      <c r="G25" s="5" t="s">
        <v>88</v>
      </c>
      <c r="H25" s="5" t="s">
        <v>238</v>
      </c>
      <c r="I25" s="5" t="s">
        <v>245</v>
      </c>
      <c r="J25" s="5" t="s">
        <v>45</v>
      </c>
      <c r="K25" s="5" t="s">
        <v>46</v>
      </c>
      <c r="L25" s="5">
        <v>121.860328</v>
      </c>
      <c r="M25" s="5">
        <v>24.531189</v>
      </c>
      <c r="N25" s="5">
        <v>121.853798</v>
      </c>
      <c r="O25" s="5">
        <v>24.529478</v>
      </c>
      <c r="P25" s="6" t="s">
        <v>246</v>
      </c>
      <c r="Q25" s="5" t="s">
        <v>92</v>
      </c>
      <c r="R25" s="5" t="s">
        <v>103</v>
      </c>
      <c r="S25" s="5">
        <v>150.0</v>
      </c>
      <c r="T25" s="5">
        <v>1000.0</v>
      </c>
      <c r="U25" s="5">
        <v>65.0</v>
      </c>
      <c r="V25" s="5"/>
      <c r="W25" s="5" t="s">
        <v>50</v>
      </c>
      <c r="X25" s="5"/>
      <c r="Y25" s="6" t="s">
        <v>247</v>
      </c>
      <c r="Z25" s="5" t="s">
        <v>114</v>
      </c>
      <c r="AA25" s="5" t="s">
        <v>216</v>
      </c>
      <c r="AB25" s="5"/>
      <c r="AC25" s="5" t="s">
        <v>51</v>
      </c>
      <c r="AD25" s="5" t="s">
        <v>51</v>
      </c>
      <c r="AE25" s="5" t="s">
        <v>195</v>
      </c>
      <c r="AF25" s="6" t="s">
        <v>248</v>
      </c>
      <c r="AG25" s="6" t="str">
        <f t="shared" si="1"/>
        <v>24.531189,121.860328</v>
      </c>
      <c r="AH25" s="9" t="s">
        <v>249</v>
      </c>
      <c r="AI25" s="5" t="s">
        <v>96</v>
      </c>
      <c r="AJ25" s="5" t="s">
        <v>250</v>
      </c>
    </row>
    <row r="26" ht="79.5" customHeight="1">
      <c r="A26" s="5" t="s">
        <v>36</v>
      </c>
      <c r="B26" s="5" t="s">
        <v>251</v>
      </c>
      <c r="C26" s="5" t="s">
        <v>38</v>
      </c>
      <c r="D26" s="5" t="s">
        <v>39</v>
      </c>
      <c r="E26" s="5" t="s">
        <v>40</v>
      </c>
      <c r="F26" s="5" t="s">
        <v>41</v>
      </c>
      <c r="G26" s="5" t="s">
        <v>88</v>
      </c>
      <c r="H26" s="5" t="s">
        <v>252</v>
      </c>
      <c r="I26" s="5" t="s">
        <v>245</v>
      </c>
      <c r="J26" s="5" t="s">
        <v>59</v>
      </c>
      <c r="K26" s="5" t="s">
        <v>101</v>
      </c>
      <c r="L26" s="5">
        <v>121.855156</v>
      </c>
      <c r="M26" s="5">
        <v>24.528451</v>
      </c>
      <c r="N26" s="5">
        <v>121.853234</v>
      </c>
      <c r="O26" s="5">
        <v>24.529514</v>
      </c>
      <c r="P26" s="6" t="s">
        <v>253</v>
      </c>
      <c r="Q26" s="5" t="s">
        <v>92</v>
      </c>
      <c r="R26" s="5" t="s">
        <v>69</v>
      </c>
      <c r="S26" s="5">
        <v>100.0</v>
      </c>
      <c r="T26" s="5">
        <v>200.0</v>
      </c>
      <c r="U26" s="5">
        <v>85.0</v>
      </c>
      <c r="V26" s="5" t="s">
        <v>49</v>
      </c>
      <c r="W26" s="5" t="s">
        <v>50</v>
      </c>
      <c r="X26" s="5"/>
      <c r="Y26" s="6" t="s">
        <v>254</v>
      </c>
      <c r="Z26" s="5" t="s">
        <v>255</v>
      </c>
      <c r="AA26" s="5" t="s">
        <v>72</v>
      </c>
      <c r="AB26" s="5"/>
      <c r="AC26" s="5" t="s">
        <v>51</v>
      </c>
      <c r="AD26" s="5" t="s">
        <v>51</v>
      </c>
      <c r="AE26" s="5" t="s">
        <v>62</v>
      </c>
      <c r="AF26" s="6" t="s">
        <v>256</v>
      </c>
      <c r="AG26" s="6" t="str">
        <f t="shared" si="1"/>
        <v>24.528451,121.855156</v>
      </c>
      <c r="AH26" s="6"/>
      <c r="AI26" s="5" t="s">
        <v>96</v>
      </c>
      <c r="AJ26" s="5" t="s">
        <v>257</v>
      </c>
    </row>
    <row r="27" ht="79.5" customHeight="1">
      <c r="A27" s="5" t="s">
        <v>36</v>
      </c>
      <c r="B27" s="5" t="s">
        <v>258</v>
      </c>
      <c r="C27" s="5" t="s">
        <v>38</v>
      </c>
      <c r="D27" s="5" t="s">
        <v>39</v>
      </c>
      <c r="E27" s="5" t="s">
        <v>40</v>
      </c>
      <c r="F27" s="5" t="s">
        <v>41</v>
      </c>
      <c r="G27" s="5" t="s">
        <v>88</v>
      </c>
      <c r="H27" s="5" t="s">
        <v>245</v>
      </c>
      <c r="I27" s="5" t="s">
        <v>259</v>
      </c>
      <c r="J27" s="5" t="s">
        <v>45</v>
      </c>
      <c r="K27" s="5" t="s">
        <v>46</v>
      </c>
      <c r="L27" s="5">
        <v>121.854445</v>
      </c>
      <c r="M27" s="5">
        <v>24.529189</v>
      </c>
      <c r="N27" s="5">
        <v>121.847657</v>
      </c>
      <c r="O27" s="5">
        <v>24.524215</v>
      </c>
      <c r="P27" s="6" t="s">
        <v>260</v>
      </c>
      <c r="Q27" s="5" t="s">
        <v>92</v>
      </c>
      <c r="R27" s="5" t="s">
        <v>69</v>
      </c>
      <c r="S27" s="5">
        <v>50.0</v>
      </c>
      <c r="T27" s="5">
        <v>1100.0</v>
      </c>
      <c r="U27" s="5">
        <v>45.0</v>
      </c>
      <c r="V27" s="5"/>
      <c r="W27" s="5" t="s">
        <v>137</v>
      </c>
      <c r="X27" s="5" t="s">
        <v>261</v>
      </c>
      <c r="Y27" s="6" t="s">
        <v>262</v>
      </c>
      <c r="Z27" s="5" t="s">
        <v>263</v>
      </c>
      <c r="AA27" s="5" t="s">
        <v>216</v>
      </c>
      <c r="AB27" s="5"/>
      <c r="AC27" s="5" t="s">
        <v>51</v>
      </c>
      <c r="AD27" s="5" t="s">
        <v>51</v>
      </c>
      <c r="AE27" s="5" t="s">
        <v>264</v>
      </c>
      <c r="AF27" s="6" t="s">
        <v>265</v>
      </c>
      <c r="AG27" s="6" t="str">
        <f t="shared" si="1"/>
        <v>24.529189,121.854445</v>
      </c>
      <c r="AH27" s="6"/>
      <c r="AI27" s="5" t="s">
        <v>96</v>
      </c>
      <c r="AJ27" s="5" t="s">
        <v>266</v>
      </c>
    </row>
    <row r="28" ht="79.5" customHeight="1">
      <c r="A28" s="5" t="s">
        <v>36</v>
      </c>
      <c r="B28" s="5" t="s">
        <v>267</v>
      </c>
      <c r="C28" s="5" t="s">
        <v>38</v>
      </c>
      <c r="D28" s="5" t="s">
        <v>39</v>
      </c>
      <c r="E28" s="5" t="s">
        <v>40</v>
      </c>
      <c r="F28" s="5" t="s">
        <v>41</v>
      </c>
      <c r="G28" s="5" t="s">
        <v>88</v>
      </c>
      <c r="H28" s="5" t="s">
        <v>268</v>
      </c>
      <c r="I28" s="5" t="s">
        <v>269</v>
      </c>
      <c r="J28" s="5" t="s">
        <v>59</v>
      </c>
      <c r="K28" s="5" t="s">
        <v>101</v>
      </c>
      <c r="L28" s="5">
        <v>121.852703</v>
      </c>
      <c r="M28" s="5">
        <v>24.527865</v>
      </c>
      <c r="N28" s="5">
        <v>121.852752</v>
      </c>
      <c r="O28" s="5">
        <v>24.527834</v>
      </c>
      <c r="P28" s="6" t="s">
        <v>270</v>
      </c>
      <c r="Q28" s="5" t="s">
        <v>92</v>
      </c>
      <c r="R28" s="5" t="s">
        <v>271</v>
      </c>
      <c r="S28" s="5">
        <v>40.0</v>
      </c>
      <c r="T28" s="5">
        <v>150.0</v>
      </c>
      <c r="U28" s="5">
        <v>60.0</v>
      </c>
      <c r="V28" s="5"/>
      <c r="W28" s="5" t="s">
        <v>50</v>
      </c>
      <c r="X28" s="5"/>
      <c r="Y28" s="6" t="s">
        <v>272</v>
      </c>
      <c r="Z28" s="5" t="s">
        <v>273</v>
      </c>
      <c r="AA28" s="5" t="s">
        <v>216</v>
      </c>
      <c r="AB28" s="5"/>
      <c r="AC28" s="5" t="s">
        <v>51</v>
      </c>
      <c r="AD28" s="5" t="s">
        <v>51</v>
      </c>
      <c r="AE28" s="5" t="s">
        <v>264</v>
      </c>
      <c r="AF28" s="6" t="s">
        <v>274</v>
      </c>
      <c r="AG28" s="6" t="str">
        <f t="shared" si="1"/>
        <v>24.527865,121.852703</v>
      </c>
      <c r="AH28" s="9" t="s">
        <v>275</v>
      </c>
      <c r="AI28" s="5" t="s">
        <v>96</v>
      </c>
      <c r="AJ28" s="5" t="s">
        <v>276</v>
      </c>
    </row>
    <row r="29" ht="79.5" customHeight="1">
      <c r="A29" s="5" t="s">
        <v>36</v>
      </c>
      <c r="B29" s="5" t="s">
        <v>277</v>
      </c>
      <c r="C29" s="5" t="s">
        <v>38</v>
      </c>
      <c r="D29" s="5" t="s">
        <v>39</v>
      </c>
      <c r="E29" s="5" t="s">
        <v>40</v>
      </c>
      <c r="F29" s="5" t="s">
        <v>41</v>
      </c>
      <c r="G29" s="5" t="s">
        <v>88</v>
      </c>
      <c r="H29" s="5" t="s">
        <v>278</v>
      </c>
      <c r="I29" s="5" t="s">
        <v>279</v>
      </c>
      <c r="J29" s="5" t="s">
        <v>59</v>
      </c>
      <c r="K29" s="5" t="s">
        <v>101</v>
      </c>
      <c r="L29" s="5">
        <v>121.851152</v>
      </c>
      <c r="M29" s="5">
        <v>24.525595</v>
      </c>
      <c r="N29" s="5">
        <v>121.850612</v>
      </c>
      <c r="O29" s="5">
        <v>24.525176</v>
      </c>
      <c r="P29" s="6" t="s">
        <v>280</v>
      </c>
      <c r="Q29" s="5" t="s">
        <v>92</v>
      </c>
      <c r="R29" s="5" t="s">
        <v>103</v>
      </c>
      <c r="S29" s="5">
        <v>30.0</v>
      </c>
      <c r="T29" s="5">
        <v>75.0</v>
      </c>
      <c r="U29" s="5">
        <v>70.0</v>
      </c>
      <c r="V29" s="5"/>
      <c r="W29" s="5" t="s">
        <v>50</v>
      </c>
      <c r="X29" s="5"/>
      <c r="Y29" s="6" t="s">
        <v>281</v>
      </c>
      <c r="Z29" s="5" t="s">
        <v>282</v>
      </c>
      <c r="AA29" s="5" t="s">
        <v>72</v>
      </c>
      <c r="AB29" s="5"/>
      <c r="AC29" s="5" t="s">
        <v>51</v>
      </c>
      <c r="AD29" s="5" t="s">
        <v>51</v>
      </c>
      <c r="AE29" s="5" t="s">
        <v>264</v>
      </c>
      <c r="AF29" s="6" t="s">
        <v>283</v>
      </c>
      <c r="AG29" s="6" t="str">
        <f t="shared" si="1"/>
        <v>24.525595,121.851152</v>
      </c>
      <c r="AH29" s="6"/>
      <c r="AI29" s="5" t="s">
        <v>96</v>
      </c>
      <c r="AJ29" s="5" t="s">
        <v>284</v>
      </c>
    </row>
    <row r="30" ht="79.5" customHeight="1">
      <c r="A30" s="5" t="s">
        <v>36</v>
      </c>
      <c r="B30" s="5" t="s">
        <v>285</v>
      </c>
      <c r="C30" s="5" t="s">
        <v>38</v>
      </c>
      <c r="D30" s="5" t="s">
        <v>39</v>
      </c>
      <c r="E30" s="5" t="s">
        <v>40</v>
      </c>
      <c r="F30" s="5" t="s">
        <v>41</v>
      </c>
      <c r="G30" s="5" t="s">
        <v>88</v>
      </c>
      <c r="H30" s="5" t="s">
        <v>286</v>
      </c>
      <c r="I30" s="5" t="s">
        <v>259</v>
      </c>
      <c r="J30" s="5" t="s">
        <v>59</v>
      </c>
      <c r="K30" s="5" t="s">
        <v>101</v>
      </c>
      <c r="L30" s="5">
        <v>121.848989</v>
      </c>
      <c r="M30" s="5">
        <v>24.524859</v>
      </c>
      <c r="N30" s="5">
        <v>121.848035</v>
      </c>
      <c r="O30" s="5">
        <v>24.524091</v>
      </c>
      <c r="P30" s="6" t="s">
        <v>287</v>
      </c>
      <c r="Q30" s="5" t="s">
        <v>48</v>
      </c>
      <c r="R30" s="5" t="s">
        <v>69</v>
      </c>
      <c r="S30" s="5">
        <v>100.0</v>
      </c>
      <c r="T30" s="5">
        <v>150.0</v>
      </c>
      <c r="U30" s="5">
        <v>80.0</v>
      </c>
      <c r="V30" s="5"/>
      <c r="W30" s="5" t="s">
        <v>50</v>
      </c>
      <c r="X30" s="5"/>
      <c r="Y30" s="6" t="s">
        <v>288</v>
      </c>
      <c r="Z30" s="5" t="s">
        <v>289</v>
      </c>
      <c r="AA30" s="5" t="s">
        <v>72</v>
      </c>
      <c r="AB30" s="5"/>
      <c r="AC30" s="5" t="s">
        <v>51</v>
      </c>
      <c r="AD30" s="5" t="s">
        <v>51</v>
      </c>
      <c r="AE30" s="5" t="s">
        <v>264</v>
      </c>
      <c r="AF30" s="6" t="s">
        <v>290</v>
      </c>
      <c r="AG30" s="6" t="str">
        <f t="shared" si="1"/>
        <v>24.524859,121.848989</v>
      </c>
      <c r="AH30" s="9" t="s">
        <v>291</v>
      </c>
      <c r="AI30" s="5" t="s">
        <v>96</v>
      </c>
      <c r="AJ30" s="5" t="s">
        <v>292</v>
      </c>
    </row>
    <row r="31" ht="79.5" customHeight="1">
      <c r="A31" s="5" t="s">
        <v>36</v>
      </c>
      <c r="B31" s="5" t="s">
        <v>293</v>
      </c>
      <c r="C31" s="5" t="s">
        <v>38</v>
      </c>
      <c r="D31" s="5" t="s">
        <v>39</v>
      </c>
      <c r="E31" s="5" t="s">
        <v>40</v>
      </c>
      <c r="F31" s="5" t="s">
        <v>41</v>
      </c>
      <c r="G31" s="5" t="s">
        <v>88</v>
      </c>
      <c r="H31" s="5" t="s">
        <v>294</v>
      </c>
      <c r="I31" s="5" t="s">
        <v>295</v>
      </c>
      <c r="J31" s="5" t="s">
        <v>45</v>
      </c>
      <c r="K31" s="5" t="s">
        <v>46</v>
      </c>
      <c r="L31" s="5">
        <v>121.844285</v>
      </c>
      <c r="M31" s="5">
        <v>24.524815</v>
      </c>
      <c r="N31" s="5">
        <v>121.84319</v>
      </c>
      <c r="O31" s="5">
        <v>24.523176</v>
      </c>
      <c r="P31" s="6" t="s">
        <v>296</v>
      </c>
      <c r="Q31" s="5" t="s">
        <v>92</v>
      </c>
      <c r="R31" s="5" t="s">
        <v>103</v>
      </c>
      <c r="S31" s="5">
        <v>100.0</v>
      </c>
      <c r="T31" s="5">
        <v>400.0</v>
      </c>
      <c r="U31" s="5">
        <v>80.0</v>
      </c>
      <c r="V31" s="5"/>
      <c r="W31" s="5" t="s">
        <v>70</v>
      </c>
      <c r="X31" s="5"/>
      <c r="Y31" s="6" t="s">
        <v>297</v>
      </c>
      <c r="Z31" s="5" t="s">
        <v>298</v>
      </c>
      <c r="AA31" s="5" t="s">
        <v>72</v>
      </c>
      <c r="AB31" s="5"/>
      <c r="AC31" s="5" t="s">
        <v>51</v>
      </c>
      <c r="AD31" s="5" t="s">
        <v>51</v>
      </c>
      <c r="AE31" s="5" t="s">
        <v>264</v>
      </c>
      <c r="AF31" s="6" t="s">
        <v>299</v>
      </c>
      <c r="AG31" s="6" t="str">
        <f t="shared" si="1"/>
        <v>24.524815,121.844285</v>
      </c>
      <c r="AH31" s="6"/>
      <c r="AI31" s="5" t="s">
        <v>96</v>
      </c>
      <c r="AJ31" s="5" t="s">
        <v>300</v>
      </c>
    </row>
    <row r="32" ht="79.5" customHeight="1">
      <c r="A32" s="5" t="s">
        <v>36</v>
      </c>
      <c r="B32" s="5" t="s">
        <v>301</v>
      </c>
      <c r="C32" s="5" t="s">
        <v>38</v>
      </c>
      <c r="D32" s="5" t="s">
        <v>39</v>
      </c>
      <c r="E32" s="5" t="s">
        <v>40</v>
      </c>
      <c r="F32" s="5" t="s">
        <v>41</v>
      </c>
      <c r="G32" s="5" t="s">
        <v>88</v>
      </c>
      <c r="H32" s="5" t="s">
        <v>302</v>
      </c>
      <c r="I32" s="5" t="s">
        <v>295</v>
      </c>
      <c r="J32" s="5" t="s">
        <v>59</v>
      </c>
      <c r="K32" s="5" t="s">
        <v>101</v>
      </c>
      <c r="L32" s="5">
        <v>121.843164</v>
      </c>
      <c r="M32" s="5">
        <v>24.523188</v>
      </c>
      <c r="N32" s="5">
        <v>121.842597</v>
      </c>
      <c r="O32" s="5">
        <v>24.522389</v>
      </c>
      <c r="P32" s="6" t="s">
        <v>68</v>
      </c>
      <c r="Q32" s="5" t="s">
        <v>48</v>
      </c>
      <c r="R32" s="5" t="s">
        <v>192</v>
      </c>
      <c r="S32" s="5">
        <v>12.0</v>
      </c>
      <c r="T32" s="5">
        <v>60.0</v>
      </c>
      <c r="U32" s="5"/>
      <c r="V32" s="5"/>
      <c r="W32" s="5" t="s">
        <v>70</v>
      </c>
      <c r="X32" s="5"/>
      <c r="Y32" s="6" t="s">
        <v>303</v>
      </c>
      <c r="Z32" s="5" t="s">
        <v>304</v>
      </c>
      <c r="AA32" s="5"/>
      <c r="AB32" s="5"/>
      <c r="AC32" s="5" t="s">
        <v>51</v>
      </c>
      <c r="AD32" s="5" t="s">
        <v>51</v>
      </c>
      <c r="AE32" s="5" t="s">
        <v>305</v>
      </c>
      <c r="AF32" s="6" t="s">
        <v>306</v>
      </c>
      <c r="AG32" s="6" t="str">
        <f t="shared" si="1"/>
        <v>24.523188,121.843164</v>
      </c>
      <c r="AH32" s="6"/>
      <c r="AI32" s="5" t="s">
        <v>96</v>
      </c>
      <c r="AJ32" s="5" t="s">
        <v>307</v>
      </c>
    </row>
    <row r="33" ht="79.5" customHeight="1">
      <c r="A33" s="5" t="s">
        <v>36</v>
      </c>
      <c r="B33" s="5" t="s">
        <v>308</v>
      </c>
      <c r="C33" s="5" t="s">
        <v>38</v>
      </c>
      <c r="D33" s="5" t="s">
        <v>39</v>
      </c>
      <c r="E33" s="5" t="s">
        <v>40</v>
      </c>
      <c r="F33" s="5" t="s">
        <v>41</v>
      </c>
      <c r="G33" s="5" t="s">
        <v>88</v>
      </c>
      <c r="H33" s="5" t="s">
        <v>295</v>
      </c>
      <c r="I33" s="5" t="s">
        <v>309</v>
      </c>
      <c r="J33" s="5" t="s">
        <v>45</v>
      </c>
      <c r="K33" s="5" t="s">
        <v>46</v>
      </c>
      <c r="L33" s="5">
        <v>121.840986</v>
      </c>
      <c r="M33" s="5">
        <v>24.521696</v>
      </c>
      <c r="N33" s="5">
        <v>121.839722</v>
      </c>
      <c r="O33" s="5">
        <v>24.524798</v>
      </c>
      <c r="P33" s="6" t="s">
        <v>310</v>
      </c>
      <c r="Q33" s="5" t="s">
        <v>92</v>
      </c>
      <c r="R33" s="5" t="s">
        <v>103</v>
      </c>
      <c r="S33" s="5">
        <v>40.0</v>
      </c>
      <c r="T33" s="5">
        <v>470.0</v>
      </c>
      <c r="U33" s="5">
        <v>45.0</v>
      </c>
      <c r="V33" s="5"/>
      <c r="W33" s="5" t="s">
        <v>70</v>
      </c>
      <c r="X33" s="5"/>
      <c r="Y33" s="6" t="s">
        <v>311</v>
      </c>
      <c r="Z33" s="5" t="s">
        <v>94</v>
      </c>
      <c r="AA33" s="5" t="s">
        <v>72</v>
      </c>
      <c r="AB33" s="5"/>
      <c r="AC33" s="5" t="s">
        <v>51</v>
      </c>
      <c r="AD33" s="5" t="s">
        <v>51</v>
      </c>
      <c r="AE33" s="5" t="s">
        <v>62</v>
      </c>
      <c r="AF33" s="6" t="s">
        <v>312</v>
      </c>
      <c r="AG33" s="6" t="str">
        <f t="shared" si="1"/>
        <v>24.521696,121.840986</v>
      </c>
      <c r="AH33" s="6"/>
      <c r="AI33" s="5" t="s">
        <v>96</v>
      </c>
      <c r="AJ33" s="5" t="s">
        <v>313</v>
      </c>
    </row>
    <row r="34" ht="79.5" customHeight="1">
      <c r="A34" s="5" t="s">
        <v>36</v>
      </c>
      <c r="B34" s="5" t="s">
        <v>314</v>
      </c>
      <c r="C34" s="5" t="s">
        <v>38</v>
      </c>
      <c r="D34" s="5" t="s">
        <v>39</v>
      </c>
      <c r="E34" s="5" t="s">
        <v>40</v>
      </c>
      <c r="F34" s="5" t="s">
        <v>41</v>
      </c>
      <c r="G34" s="5" t="s">
        <v>88</v>
      </c>
      <c r="H34" s="5" t="s">
        <v>315</v>
      </c>
      <c r="I34" s="5" t="s">
        <v>316</v>
      </c>
      <c r="J34" s="5" t="s">
        <v>59</v>
      </c>
      <c r="K34" s="5" t="s">
        <v>101</v>
      </c>
      <c r="L34" s="5">
        <v>121.841357</v>
      </c>
      <c r="M34" s="5">
        <v>24.523326</v>
      </c>
      <c r="N34" s="5">
        <v>121.840108</v>
      </c>
      <c r="O34" s="5">
        <v>24.524645</v>
      </c>
      <c r="P34" s="6" t="s">
        <v>102</v>
      </c>
      <c r="Q34" s="5" t="s">
        <v>48</v>
      </c>
      <c r="R34" s="5" t="s">
        <v>317</v>
      </c>
      <c r="S34" s="5">
        <v>20.0</v>
      </c>
      <c r="T34" s="5">
        <v>200.0</v>
      </c>
      <c r="U34" s="5">
        <v>70.0</v>
      </c>
      <c r="V34" s="5"/>
      <c r="W34" s="5" t="s">
        <v>70</v>
      </c>
      <c r="X34" s="5"/>
      <c r="Y34" s="6" t="s">
        <v>318</v>
      </c>
      <c r="Z34" s="5" t="s">
        <v>319</v>
      </c>
      <c r="AA34" s="5" t="s">
        <v>72</v>
      </c>
      <c r="AB34" s="5"/>
      <c r="AC34" s="5" t="s">
        <v>51</v>
      </c>
      <c r="AD34" s="5" t="s">
        <v>51</v>
      </c>
      <c r="AE34" s="5" t="s">
        <v>305</v>
      </c>
      <c r="AF34" s="6" t="s">
        <v>320</v>
      </c>
      <c r="AG34" s="6" t="str">
        <f t="shared" si="1"/>
        <v>24.523326,121.841357</v>
      </c>
      <c r="AH34" s="6"/>
      <c r="AI34" s="5" t="s">
        <v>96</v>
      </c>
      <c r="AJ34" s="5" t="s">
        <v>321</v>
      </c>
    </row>
    <row r="35" ht="79.5" customHeight="1">
      <c r="A35" s="5" t="s">
        <v>36</v>
      </c>
      <c r="B35" s="5" t="s">
        <v>322</v>
      </c>
      <c r="C35" s="5" t="s">
        <v>38</v>
      </c>
      <c r="D35" s="5" t="s">
        <v>39</v>
      </c>
      <c r="E35" s="5" t="s">
        <v>40</v>
      </c>
      <c r="F35" s="5" t="s">
        <v>41</v>
      </c>
      <c r="G35" s="5" t="s">
        <v>88</v>
      </c>
      <c r="H35" s="5" t="s">
        <v>323</v>
      </c>
      <c r="I35" s="5" t="s">
        <v>324</v>
      </c>
      <c r="J35" s="5" t="s">
        <v>45</v>
      </c>
      <c r="K35" s="5" t="s">
        <v>46</v>
      </c>
      <c r="L35" s="5">
        <v>121.867</v>
      </c>
      <c r="M35" s="5">
        <v>24.551</v>
      </c>
      <c r="N35" s="5">
        <v>121.867</v>
      </c>
      <c r="O35" s="5">
        <v>24.551</v>
      </c>
      <c r="P35" s="6" t="s">
        <v>128</v>
      </c>
      <c r="Q35" s="5" t="s">
        <v>48</v>
      </c>
      <c r="R35" s="5" t="s">
        <v>103</v>
      </c>
      <c r="S35" s="5">
        <v>50.0</v>
      </c>
      <c r="T35" s="5">
        <v>50.0</v>
      </c>
      <c r="U35" s="5">
        <v>45.0</v>
      </c>
      <c r="V35" s="5"/>
      <c r="W35" s="5" t="s">
        <v>137</v>
      </c>
      <c r="X35" s="5" t="s">
        <v>138</v>
      </c>
      <c r="Y35" s="6" t="s">
        <v>325</v>
      </c>
      <c r="Z35" s="5"/>
      <c r="AA35" s="5" t="s">
        <v>72</v>
      </c>
      <c r="AB35" s="5"/>
      <c r="AC35" s="5" t="s">
        <v>51</v>
      </c>
      <c r="AD35" s="5" t="s">
        <v>51</v>
      </c>
      <c r="AE35" s="5" t="s">
        <v>305</v>
      </c>
      <c r="AF35" s="6" t="s">
        <v>326</v>
      </c>
      <c r="AG35" s="6" t="str">
        <f t="shared" si="1"/>
        <v>24.551,121.867</v>
      </c>
      <c r="AH35" s="6"/>
      <c r="AI35" s="5" t="s">
        <v>96</v>
      </c>
      <c r="AJ35" s="5" t="s">
        <v>327</v>
      </c>
    </row>
    <row r="36" ht="79.5" customHeight="1">
      <c r="A36" s="5" t="s">
        <v>36</v>
      </c>
      <c r="B36" s="5" t="s">
        <v>328</v>
      </c>
      <c r="C36" s="5" t="s">
        <v>38</v>
      </c>
      <c r="D36" s="5" t="s">
        <v>39</v>
      </c>
      <c r="E36" s="5" t="s">
        <v>40</v>
      </c>
      <c r="F36" s="5" t="s">
        <v>329</v>
      </c>
      <c r="G36" s="5" t="s">
        <v>88</v>
      </c>
      <c r="H36" s="5" t="s">
        <v>330</v>
      </c>
      <c r="I36" s="5" t="s">
        <v>331</v>
      </c>
      <c r="J36" s="5" t="s">
        <v>59</v>
      </c>
      <c r="K36" s="5" t="s">
        <v>46</v>
      </c>
      <c r="L36" s="5">
        <v>121.7878977</v>
      </c>
      <c r="M36" s="5">
        <v>24.4593189</v>
      </c>
      <c r="N36" s="5">
        <v>121.7849974</v>
      </c>
      <c r="O36" s="5">
        <v>24.4603325</v>
      </c>
      <c r="P36" s="6" t="s">
        <v>60</v>
      </c>
      <c r="Q36" s="5" t="s">
        <v>92</v>
      </c>
      <c r="R36" s="5" t="s">
        <v>332</v>
      </c>
      <c r="S36" s="5">
        <v>35.0</v>
      </c>
      <c r="T36" s="5">
        <v>340.0</v>
      </c>
      <c r="U36" s="5">
        <v>50.0</v>
      </c>
      <c r="V36" s="5"/>
      <c r="W36" s="5" t="s">
        <v>50</v>
      </c>
      <c r="X36" s="5"/>
      <c r="Y36" s="6" t="s">
        <v>333</v>
      </c>
      <c r="Z36" s="5" t="s">
        <v>334</v>
      </c>
      <c r="AA36" s="5" t="s">
        <v>216</v>
      </c>
      <c r="AB36" s="5"/>
      <c r="AC36" s="5" t="s">
        <v>51</v>
      </c>
      <c r="AD36" s="5" t="s">
        <v>51</v>
      </c>
      <c r="AE36" s="5" t="s">
        <v>335</v>
      </c>
      <c r="AF36" s="6" t="s">
        <v>336</v>
      </c>
      <c r="AG36" s="6" t="str">
        <f t="shared" si="1"/>
        <v>24.4593189,121.7878977</v>
      </c>
      <c r="AH36" s="6"/>
      <c r="AI36" s="5" t="s">
        <v>337</v>
      </c>
      <c r="AJ36" s="5" t="s">
        <v>338</v>
      </c>
    </row>
    <row r="37" ht="79.5" customHeight="1">
      <c r="A37" s="5" t="s">
        <v>36</v>
      </c>
      <c r="B37" s="5" t="s">
        <v>339</v>
      </c>
      <c r="C37" s="5" t="s">
        <v>38</v>
      </c>
      <c r="D37" s="5" t="s">
        <v>39</v>
      </c>
      <c r="E37" s="5" t="s">
        <v>40</v>
      </c>
      <c r="F37" s="5" t="s">
        <v>329</v>
      </c>
      <c r="G37" s="5" t="s">
        <v>88</v>
      </c>
      <c r="H37" s="5" t="s">
        <v>340</v>
      </c>
      <c r="I37" s="5" t="s">
        <v>341</v>
      </c>
      <c r="J37" s="5" t="s">
        <v>45</v>
      </c>
      <c r="K37" s="5" t="s">
        <v>46</v>
      </c>
      <c r="L37" s="5">
        <v>121.78456</v>
      </c>
      <c r="M37" s="5">
        <v>24.460412</v>
      </c>
      <c r="N37" s="5">
        <v>121.783147</v>
      </c>
      <c r="O37" s="5">
        <v>24.460248</v>
      </c>
      <c r="P37" s="6" t="s">
        <v>342</v>
      </c>
      <c r="Q37" s="5" t="s">
        <v>48</v>
      </c>
      <c r="R37" s="5" t="s">
        <v>332</v>
      </c>
      <c r="S37" s="5">
        <v>50.0</v>
      </c>
      <c r="T37" s="5">
        <v>150.0</v>
      </c>
      <c r="U37" s="5">
        <v>75.0</v>
      </c>
      <c r="V37" s="5"/>
      <c r="W37" s="5" t="s">
        <v>70</v>
      </c>
      <c r="X37" s="5"/>
      <c r="Y37" s="6" t="s">
        <v>343</v>
      </c>
      <c r="Z37" s="5" t="s">
        <v>344</v>
      </c>
      <c r="AA37" s="5"/>
      <c r="AB37" s="5"/>
      <c r="AC37" s="5" t="s">
        <v>51</v>
      </c>
      <c r="AD37" s="5" t="s">
        <v>51</v>
      </c>
      <c r="AE37" s="5" t="s">
        <v>345</v>
      </c>
      <c r="AF37" s="6" t="s">
        <v>346</v>
      </c>
      <c r="AG37" s="6" t="str">
        <f t="shared" si="1"/>
        <v>24.460412,121.78456</v>
      </c>
      <c r="AH37" s="6"/>
      <c r="AI37" s="5" t="s">
        <v>337</v>
      </c>
      <c r="AJ37" s="5" t="s">
        <v>347</v>
      </c>
    </row>
    <row r="38" ht="79.5" customHeight="1">
      <c r="A38" s="5" t="s">
        <v>36</v>
      </c>
      <c r="B38" s="5" t="s">
        <v>348</v>
      </c>
      <c r="C38" s="5" t="s">
        <v>38</v>
      </c>
      <c r="D38" s="5" t="s">
        <v>39</v>
      </c>
      <c r="E38" s="5" t="s">
        <v>40</v>
      </c>
      <c r="F38" s="5" t="s">
        <v>329</v>
      </c>
      <c r="G38" s="5" t="s">
        <v>88</v>
      </c>
      <c r="H38" s="5" t="s">
        <v>349</v>
      </c>
      <c r="I38" s="5" t="s">
        <v>350</v>
      </c>
      <c r="J38" s="5" t="s">
        <v>45</v>
      </c>
      <c r="K38" s="5" t="s">
        <v>46</v>
      </c>
      <c r="L38" s="5">
        <v>121.7788859</v>
      </c>
      <c r="M38" s="5">
        <v>24.4565784</v>
      </c>
      <c r="N38" s="5">
        <v>121.7767</v>
      </c>
      <c r="O38" s="5">
        <v>24.4508109</v>
      </c>
      <c r="P38" s="6" t="s">
        <v>351</v>
      </c>
      <c r="Q38" s="5" t="s">
        <v>92</v>
      </c>
      <c r="R38" s="5" t="s">
        <v>69</v>
      </c>
      <c r="S38" s="5">
        <v>35.0</v>
      </c>
      <c r="T38" s="5">
        <v>600.0</v>
      </c>
      <c r="U38" s="5">
        <v>50.0</v>
      </c>
      <c r="V38" s="5"/>
      <c r="W38" s="5" t="s">
        <v>50</v>
      </c>
      <c r="X38" s="5"/>
      <c r="Y38" s="6" t="s">
        <v>333</v>
      </c>
      <c r="Z38" s="5" t="s">
        <v>334</v>
      </c>
      <c r="AA38" s="5" t="s">
        <v>72</v>
      </c>
      <c r="AB38" s="5"/>
      <c r="AC38" s="5" t="s">
        <v>51</v>
      </c>
      <c r="AD38" s="5" t="s">
        <v>51</v>
      </c>
      <c r="AE38" s="5" t="s">
        <v>335</v>
      </c>
      <c r="AF38" s="6" t="s">
        <v>352</v>
      </c>
      <c r="AG38" s="6" t="str">
        <f t="shared" si="1"/>
        <v>24.4565784,121.7788859</v>
      </c>
      <c r="AH38" s="6"/>
      <c r="AI38" s="5" t="s">
        <v>337</v>
      </c>
      <c r="AJ38" s="5" t="s">
        <v>353</v>
      </c>
    </row>
    <row r="39" ht="79.5" customHeight="1">
      <c r="A39" s="5" t="s">
        <v>36</v>
      </c>
      <c r="B39" s="5" t="s">
        <v>354</v>
      </c>
      <c r="C39" s="5" t="s">
        <v>38</v>
      </c>
      <c r="D39" s="5" t="s">
        <v>39</v>
      </c>
      <c r="E39" s="5" t="s">
        <v>40</v>
      </c>
      <c r="F39" s="5" t="s">
        <v>329</v>
      </c>
      <c r="G39" s="5" t="s">
        <v>88</v>
      </c>
      <c r="H39" s="5" t="s">
        <v>355</v>
      </c>
      <c r="I39" s="5" t="s">
        <v>356</v>
      </c>
      <c r="J39" s="5" t="s">
        <v>59</v>
      </c>
      <c r="K39" s="5" t="s">
        <v>46</v>
      </c>
      <c r="L39" s="5">
        <v>121.7811488</v>
      </c>
      <c r="M39" s="5">
        <v>24.4492373</v>
      </c>
      <c r="N39" s="5">
        <v>121.783811</v>
      </c>
      <c r="O39" s="5">
        <v>24.4383943</v>
      </c>
      <c r="P39" s="6" t="s">
        <v>357</v>
      </c>
      <c r="Q39" s="5" t="s">
        <v>92</v>
      </c>
      <c r="R39" s="5" t="s">
        <v>332</v>
      </c>
      <c r="S39" s="5">
        <v>45.0</v>
      </c>
      <c r="T39" s="5">
        <v>1300.0</v>
      </c>
      <c r="U39" s="5">
        <v>45.0</v>
      </c>
      <c r="V39" s="5"/>
      <c r="W39" s="5" t="s">
        <v>70</v>
      </c>
      <c r="X39" s="5"/>
      <c r="Y39" s="6" t="s">
        <v>358</v>
      </c>
      <c r="Z39" s="5" t="s">
        <v>359</v>
      </c>
      <c r="AA39" s="5" t="s">
        <v>72</v>
      </c>
      <c r="AB39" s="5"/>
      <c r="AC39" s="5" t="s">
        <v>51</v>
      </c>
      <c r="AD39" s="5" t="s">
        <v>51</v>
      </c>
      <c r="AE39" s="5" t="s">
        <v>335</v>
      </c>
      <c r="AF39" s="6" t="s">
        <v>360</v>
      </c>
      <c r="AG39" s="6" t="str">
        <f t="shared" si="1"/>
        <v>24.4492373,121.7811488</v>
      </c>
      <c r="AH39" s="6"/>
      <c r="AI39" s="5" t="s">
        <v>337</v>
      </c>
      <c r="AJ39" s="5" t="s">
        <v>361</v>
      </c>
    </row>
    <row r="40" ht="79.5" customHeight="1">
      <c r="A40" s="5" t="s">
        <v>36</v>
      </c>
      <c r="B40" s="5" t="s">
        <v>362</v>
      </c>
      <c r="C40" s="5" t="s">
        <v>38</v>
      </c>
      <c r="D40" s="5" t="s">
        <v>39</v>
      </c>
      <c r="E40" s="5" t="s">
        <v>40</v>
      </c>
      <c r="F40" s="5" t="s">
        <v>329</v>
      </c>
      <c r="G40" s="5" t="s">
        <v>88</v>
      </c>
      <c r="H40" s="5" t="s">
        <v>363</v>
      </c>
      <c r="I40" s="5" t="s">
        <v>364</v>
      </c>
      <c r="J40" s="5" t="s">
        <v>59</v>
      </c>
      <c r="K40" s="5" t="s">
        <v>46</v>
      </c>
      <c r="L40" s="5">
        <v>121.7844958</v>
      </c>
      <c r="M40" s="5">
        <v>24.4353403</v>
      </c>
      <c r="N40" s="5">
        <v>121.7872906</v>
      </c>
      <c r="O40" s="5">
        <v>24.430699</v>
      </c>
      <c r="P40" s="6" t="s">
        <v>365</v>
      </c>
      <c r="Q40" s="5" t="s">
        <v>92</v>
      </c>
      <c r="R40" s="5" t="s">
        <v>103</v>
      </c>
      <c r="S40" s="5">
        <v>30.0</v>
      </c>
      <c r="T40" s="5">
        <v>200.0</v>
      </c>
      <c r="U40" s="5">
        <v>60.0</v>
      </c>
      <c r="V40" s="5"/>
      <c r="W40" s="5" t="s">
        <v>70</v>
      </c>
      <c r="X40" s="5"/>
      <c r="Y40" s="6" t="s">
        <v>366</v>
      </c>
      <c r="Z40" s="5" t="s">
        <v>367</v>
      </c>
      <c r="AA40" s="5" t="s">
        <v>72</v>
      </c>
      <c r="AB40" s="5"/>
      <c r="AC40" s="5" t="s">
        <v>51</v>
      </c>
      <c r="AD40" s="5" t="s">
        <v>51</v>
      </c>
      <c r="AE40" s="5" t="s">
        <v>335</v>
      </c>
      <c r="AF40" s="6" t="s">
        <v>368</v>
      </c>
      <c r="AG40" s="6" t="str">
        <f t="shared" si="1"/>
        <v>24.4353403,121.7844958</v>
      </c>
      <c r="AH40" s="6"/>
      <c r="AI40" s="5" t="s">
        <v>337</v>
      </c>
      <c r="AJ40" s="5" t="s">
        <v>369</v>
      </c>
    </row>
    <row r="41" ht="79.5" customHeight="1">
      <c r="A41" s="5" t="s">
        <v>36</v>
      </c>
      <c r="B41" s="5" t="s">
        <v>370</v>
      </c>
      <c r="C41" s="5" t="s">
        <v>38</v>
      </c>
      <c r="D41" s="5" t="s">
        <v>39</v>
      </c>
      <c r="E41" s="5" t="s">
        <v>40</v>
      </c>
      <c r="F41" s="5" t="s">
        <v>329</v>
      </c>
      <c r="G41" s="5" t="s">
        <v>88</v>
      </c>
      <c r="H41" s="5" t="s">
        <v>371</v>
      </c>
      <c r="I41" s="5" t="s">
        <v>372</v>
      </c>
      <c r="J41" s="5" t="s">
        <v>59</v>
      </c>
      <c r="K41" s="5" t="s">
        <v>46</v>
      </c>
      <c r="L41" s="5">
        <v>121.787737</v>
      </c>
      <c r="M41" s="5">
        <v>24.429177</v>
      </c>
      <c r="N41" s="5">
        <v>121.790109</v>
      </c>
      <c r="O41" s="5">
        <v>24.415532</v>
      </c>
      <c r="P41" s="6" t="s">
        <v>373</v>
      </c>
      <c r="Q41" s="5" t="s">
        <v>48</v>
      </c>
      <c r="R41" s="5" t="s">
        <v>69</v>
      </c>
      <c r="S41" s="5">
        <v>45.0</v>
      </c>
      <c r="T41" s="5">
        <v>185.0</v>
      </c>
      <c r="U41" s="5">
        <v>45.0</v>
      </c>
      <c r="V41" s="5"/>
      <c r="W41" s="5" t="s">
        <v>50</v>
      </c>
      <c r="X41" s="5"/>
      <c r="Y41" s="6" t="s">
        <v>374</v>
      </c>
      <c r="Z41" s="5" t="s">
        <v>375</v>
      </c>
      <c r="AA41" s="5" t="s">
        <v>72</v>
      </c>
      <c r="AB41" s="5"/>
      <c r="AC41" s="5" t="s">
        <v>51</v>
      </c>
      <c r="AD41" s="5" t="s">
        <v>51</v>
      </c>
      <c r="AE41" s="5" t="s">
        <v>376</v>
      </c>
      <c r="AF41" s="6" t="s">
        <v>377</v>
      </c>
      <c r="AG41" s="6" t="str">
        <f t="shared" si="1"/>
        <v>24.429177,121.787737</v>
      </c>
      <c r="AH41" s="6"/>
      <c r="AI41" s="5" t="s">
        <v>337</v>
      </c>
      <c r="AJ41" s="5" t="s">
        <v>378</v>
      </c>
    </row>
    <row r="42" ht="79.5" customHeight="1">
      <c r="A42" s="5" t="s">
        <v>36</v>
      </c>
      <c r="B42" s="5" t="s">
        <v>379</v>
      </c>
      <c r="C42" s="5" t="s">
        <v>38</v>
      </c>
      <c r="D42" s="5" t="s">
        <v>39</v>
      </c>
      <c r="E42" s="5" t="s">
        <v>40</v>
      </c>
      <c r="F42" s="5" t="s">
        <v>329</v>
      </c>
      <c r="G42" s="5" t="s">
        <v>88</v>
      </c>
      <c r="H42" s="5" t="s">
        <v>372</v>
      </c>
      <c r="I42" s="5" t="s">
        <v>380</v>
      </c>
      <c r="J42" s="5" t="s">
        <v>45</v>
      </c>
      <c r="K42" s="5" t="s">
        <v>46</v>
      </c>
      <c r="L42" s="5">
        <v>121.7902374</v>
      </c>
      <c r="M42" s="5">
        <v>24.4153907</v>
      </c>
      <c r="N42" s="5">
        <v>121.7872552</v>
      </c>
      <c r="O42" s="5">
        <v>24.4090541</v>
      </c>
      <c r="P42" s="6" t="s">
        <v>381</v>
      </c>
      <c r="Q42" s="5" t="s">
        <v>92</v>
      </c>
      <c r="R42" s="5" t="s">
        <v>69</v>
      </c>
      <c r="S42" s="5">
        <v>60.0</v>
      </c>
      <c r="T42" s="5">
        <v>850.0</v>
      </c>
      <c r="U42" s="5">
        <v>70.0</v>
      </c>
      <c r="V42" s="5"/>
      <c r="W42" s="5" t="s">
        <v>137</v>
      </c>
      <c r="X42" s="5" t="s">
        <v>382</v>
      </c>
      <c r="Y42" s="6" t="s">
        <v>383</v>
      </c>
      <c r="Z42" s="5" t="s">
        <v>384</v>
      </c>
      <c r="AA42" s="5" t="s">
        <v>72</v>
      </c>
      <c r="AB42" s="5"/>
      <c r="AC42" s="5" t="s">
        <v>51</v>
      </c>
      <c r="AD42" s="5" t="s">
        <v>51</v>
      </c>
      <c r="AE42" s="5" t="s">
        <v>376</v>
      </c>
      <c r="AF42" s="6" t="s">
        <v>385</v>
      </c>
      <c r="AG42" s="6" t="str">
        <f t="shared" si="1"/>
        <v>24.4153907,121.7902374</v>
      </c>
      <c r="AH42" s="6"/>
      <c r="AI42" s="5" t="s">
        <v>386</v>
      </c>
      <c r="AJ42" s="5" t="s">
        <v>387</v>
      </c>
    </row>
    <row r="43" ht="79.5" customHeight="1">
      <c r="A43" s="5" t="s">
        <v>36</v>
      </c>
      <c r="B43" s="5" t="s">
        <v>388</v>
      </c>
      <c r="C43" s="5" t="s">
        <v>38</v>
      </c>
      <c r="D43" s="5" t="s">
        <v>39</v>
      </c>
      <c r="E43" s="5" t="s">
        <v>40</v>
      </c>
      <c r="F43" s="5" t="s">
        <v>329</v>
      </c>
      <c r="G43" s="5" t="s">
        <v>88</v>
      </c>
      <c r="H43" s="5" t="s">
        <v>389</v>
      </c>
      <c r="I43" s="5" t="s">
        <v>390</v>
      </c>
      <c r="J43" s="5" t="s">
        <v>59</v>
      </c>
      <c r="K43" s="5" t="s">
        <v>101</v>
      </c>
      <c r="L43" s="5">
        <v>121.7903789</v>
      </c>
      <c r="M43" s="5">
        <v>24.4152652</v>
      </c>
      <c r="N43" s="5">
        <v>121.789864</v>
      </c>
      <c r="O43" s="5">
        <v>24.413126</v>
      </c>
      <c r="P43" s="6" t="s">
        <v>391</v>
      </c>
      <c r="Q43" s="5" t="s">
        <v>92</v>
      </c>
      <c r="R43" s="5" t="s">
        <v>69</v>
      </c>
      <c r="S43" s="5">
        <v>100.0</v>
      </c>
      <c r="T43" s="5">
        <v>90.0</v>
      </c>
      <c r="U43" s="5">
        <v>90.0</v>
      </c>
      <c r="V43" s="5"/>
      <c r="W43" s="5" t="s">
        <v>70</v>
      </c>
      <c r="X43" s="5"/>
      <c r="Y43" s="6" t="s">
        <v>392</v>
      </c>
      <c r="Z43" s="5" t="s">
        <v>393</v>
      </c>
      <c r="AA43" s="5"/>
      <c r="AB43" s="5"/>
      <c r="AC43" s="5" t="s">
        <v>51</v>
      </c>
      <c r="AD43" s="5" t="s">
        <v>51</v>
      </c>
      <c r="AE43" s="5" t="s">
        <v>376</v>
      </c>
      <c r="AF43" s="6" t="s">
        <v>394</v>
      </c>
      <c r="AG43" s="6" t="str">
        <f t="shared" si="1"/>
        <v>24.4152652,121.7903789</v>
      </c>
      <c r="AH43" s="6"/>
      <c r="AI43" s="5" t="s">
        <v>386</v>
      </c>
      <c r="AJ43" s="5" t="s">
        <v>395</v>
      </c>
    </row>
    <row r="44" ht="79.5" customHeight="1">
      <c r="A44" s="5" t="s">
        <v>36</v>
      </c>
      <c r="B44" s="5" t="s">
        <v>396</v>
      </c>
      <c r="C44" s="5" t="s">
        <v>38</v>
      </c>
      <c r="D44" s="5" t="s">
        <v>39</v>
      </c>
      <c r="E44" s="5" t="s">
        <v>40</v>
      </c>
      <c r="F44" s="5" t="s">
        <v>329</v>
      </c>
      <c r="G44" s="5" t="s">
        <v>88</v>
      </c>
      <c r="H44" s="5" t="s">
        <v>397</v>
      </c>
      <c r="I44" s="5" t="s">
        <v>398</v>
      </c>
      <c r="J44" s="5" t="s">
        <v>45</v>
      </c>
      <c r="K44" s="5" t="s">
        <v>46</v>
      </c>
      <c r="L44" s="5">
        <v>121.7873714</v>
      </c>
      <c r="M44" s="5">
        <v>24.4081746</v>
      </c>
      <c r="N44" s="5">
        <v>121.786976</v>
      </c>
      <c r="O44" s="5">
        <v>24.4003857</v>
      </c>
      <c r="P44" s="6" t="s">
        <v>399</v>
      </c>
      <c r="Q44" s="5" t="s">
        <v>92</v>
      </c>
      <c r="R44" s="5" t="s">
        <v>103</v>
      </c>
      <c r="S44" s="5">
        <v>50.0</v>
      </c>
      <c r="T44" s="5">
        <v>1000.0</v>
      </c>
      <c r="U44" s="5">
        <v>50.0</v>
      </c>
      <c r="V44" s="5"/>
      <c r="W44" s="5" t="s">
        <v>137</v>
      </c>
      <c r="X44" s="5" t="s">
        <v>382</v>
      </c>
      <c r="Y44" s="6" t="s">
        <v>400</v>
      </c>
      <c r="Z44" s="5" t="s">
        <v>401</v>
      </c>
      <c r="AA44" s="5" t="s">
        <v>216</v>
      </c>
      <c r="AB44" s="5"/>
      <c r="AC44" s="5" t="s">
        <v>51</v>
      </c>
      <c r="AD44" s="5" t="s">
        <v>51</v>
      </c>
      <c r="AE44" s="5" t="s">
        <v>335</v>
      </c>
      <c r="AF44" s="6" t="s">
        <v>402</v>
      </c>
      <c r="AG44" s="6" t="str">
        <f t="shared" si="1"/>
        <v>24.4081746,121.7873714</v>
      </c>
      <c r="AH44" s="6"/>
      <c r="AI44" s="5" t="s">
        <v>386</v>
      </c>
      <c r="AJ44" s="5" t="s">
        <v>403</v>
      </c>
    </row>
    <row r="45" ht="79.5" customHeight="1">
      <c r="A45" s="5" t="s">
        <v>36</v>
      </c>
      <c r="B45" s="5" t="s">
        <v>404</v>
      </c>
      <c r="C45" s="5" t="s">
        <v>38</v>
      </c>
      <c r="D45" s="5" t="s">
        <v>39</v>
      </c>
      <c r="E45" s="5" t="s">
        <v>40</v>
      </c>
      <c r="F45" s="5" t="s">
        <v>329</v>
      </c>
      <c r="G45" s="5" t="s">
        <v>88</v>
      </c>
      <c r="H45" s="5" t="s">
        <v>405</v>
      </c>
      <c r="I45" s="5" t="s">
        <v>406</v>
      </c>
      <c r="J45" s="5" t="s">
        <v>59</v>
      </c>
      <c r="K45" s="5" t="s">
        <v>101</v>
      </c>
      <c r="L45" s="5">
        <v>121.784924</v>
      </c>
      <c r="M45" s="5">
        <v>24.39412</v>
      </c>
      <c r="N45" s="5">
        <v>121.784695</v>
      </c>
      <c r="O45" s="5">
        <v>24.392835</v>
      </c>
      <c r="P45" s="6" t="s">
        <v>102</v>
      </c>
      <c r="Q45" s="5" t="s">
        <v>48</v>
      </c>
      <c r="R45" s="5" t="s">
        <v>103</v>
      </c>
      <c r="S45" s="5">
        <v>30.0</v>
      </c>
      <c r="T45" s="5">
        <v>200.0</v>
      </c>
      <c r="U45" s="5">
        <v>70.0</v>
      </c>
      <c r="V45" s="5"/>
      <c r="W45" s="5" t="s">
        <v>70</v>
      </c>
      <c r="X45" s="5"/>
      <c r="Y45" s="6" t="s">
        <v>407</v>
      </c>
      <c r="Z45" s="5" t="s">
        <v>408</v>
      </c>
      <c r="AA45" s="5" t="s">
        <v>72</v>
      </c>
      <c r="AB45" s="5"/>
      <c r="AC45" s="5" t="s">
        <v>51</v>
      </c>
      <c r="AD45" s="5" t="s">
        <v>51</v>
      </c>
      <c r="AE45" s="5" t="s">
        <v>409</v>
      </c>
      <c r="AF45" s="6" t="s">
        <v>410</v>
      </c>
      <c r="AG45" s="6" t="str">
        <f t="shared" si="1"/>
        <v>24.39412,121.784924</v>
      </c>
      <c r="AH45" s="6"/>
      <c r="AI45" s="5" t="s">
        <v>386</v>
      </c>
      <c r="AJ45" s="5" t="s">
        <v>411</v>
      </c>
    </row>
    <row r="46" ht="79.5" customHeight="1">
      <c r="A46" s="5" t="s">
        <v>36</v>
      </c>
      <c r="B46" s="5" t="s">
        <v>412</v>
      </c>
      <c r="C46" s="5" t="s">
        <v>38</v>
      </c>
      <c r="D46" s="5" t="s">
        <v>39</v>
      </c>
      <c r="E46" s="5" t="s">
        <v>40</v>
      </c>
      <c r="F46" s="5" t="s">
        <v>329</v>
      </c>
      <c r="G46" s="5" t="s">
        <v>88</v>
      </c>
      <c r="H46" s="5" t="s">
        <v>398</v>
      </c>
      <c r="I46" s="5" t="s">
        <v>413</v>
      </c>
      <c r="J46" s="5" t="s">
        <v>45</v>
      </c>
      <c r="K46" s="5" t="s">
        <v>46</v>
      </c>
      <c r="L46" s="5">
        <v>121.786976</v>
      </c>
      <c r="M46" s="5">
        <v>24.4003857</v>
      </c>
      <c r="N46" s="5">
        <v>121.7835493</v>
      </c>
      <c r="O46" s="5">
        <v>24.3919363</v>
      </c>
      <c r="P46" s="6" t="s">
        <v>414</v>
      </c>
      <c r="Q46" s="5" t="s">
        <v>92</v>
      </c>
      <c r="R46" s="5" t="s">
        <v>103</v>
      </c>
      <c r="S46" s="5">
        <v>150.0</v>
      </c>
      <c r="T46" s="5">
        <v>1200.0</v>
      </c>
      <c r="U46" s="5">
        <v>45.0</v>
      </c>
      <c r="V46" s="5"/>
      <c r="W46" s="5" t="s">
        <v>137</v>
      </c>
      <c r="X46" s="5" t="s">
        <v>382</v>
      </c>
      <c r="Y46" s="6" t="s">
        <v>415</v>
      </c>
      <c r="Z46" s="5" t="s">
        <v>94</v>
      </c>
      <c r="AA46" s="5" t="s">
        <v>72</v>
      </c>
      <c r="AB46" s="5"/>
      <c r="AC46" s="5" t="s">
        <v>51</v>
      </c>
      <c r="AD46" s="5" t="s">
        <v>51</v>
      </c>
      <c r="AE46" s="5" t="s">
        <v>409</v>
      </c>
      <c r="AF46" s="6" t="s">
        <v>416</v>
      </c>
      <c r="AG46" s="6" t="str">
        <f t="shared" si="1"/>
        <v>24.4003857,121.786976</v>
      </c>
      <c r="AH46" s="6"/>
      <c r="AI46" s="5" t="s">
        <v>386</v>
      </c>
      <c r="AJ46" s="5" t="s">
        <v>417</v>
      </c>
    </row>
    <row r="47" ht="79.5" customHeight="1">
      <c r="A47" s="5" t="s">
        <v>36</v>
      </c>
      <c r="B47" s="5" t="s">
        <v>418</v>
      </c>
      <c r="C47" s="5" t="s">
        <v>38</v>
      </c>
      <c r="D47" s="5" t="s">
        <v>39</v>
      </c>
      <c r="E47" s="5" t="s">
        <v>40</v>
      </c>
      <c r="F47" s="5" t="s">
        <v>329</v>
      </c>
      <c r="G47" s="5" t="s">
        <v>88</v>
      </c>
      <c r="H47" s="5" t="s">
        <v>413</v>
      </c>
      <c r="I47" s="5" t="s">
        <v>419</v>
      </c>
      <c r="J47" s="5" t="s">
        <v>45</v>
      </c>
      <c r="K47" s="5" t="s">
        <v>46</v>
      </c>
      <c r="L47" s="5">
        <v>121.7835493</v>
      </c>
      <c r="M47" s="5">
        <v>24.3919363</v>
      </c>
      <c r="N47" s="5">
        <v>121.7844291</v>
      </c>
      <c r="O47" s="5">
        <v>24.3887849</v>
      </c>
      <c r="P47" s="6" t="s">
        <v>420</v>
      </c>
      <c r="Q47" s="5" t="s">
        <v>92</v>
      </c>
      <c r="R47" s="5" t="s">
        <v>103</v>
      </c>
      <c r="S47" s="5">
        <v>35.0</v>
      </c>
      <c r="T47" s="5">
        <v>470.0</v>
      </c>
      <c r="U47" s="5">
        <v>30.0</v>
      </c>
      <c r="V47" s="5"/>
      <c r="W47" s="5" t="s">
        <v>50</v>
      </c>
      <c r="X47" s="5"/>
      <c r="Y47" s="6" t="s">
        <v>421</v>
      </c>
      <c r="Z47" s="5" t="s">
        <v>422</v>
      </c>
      <c r="AA47" s="5" t="s">
        <v>216</v>
      </c>
      <c r="AB47" s="5"/>
      <c r="AC47" s="5" t="s">
        <v>51</v>
      </c>
      <c r="AD47" s="5" t="s">
        <v>51</v>
      </c>
      <c r="AE47" s="5" t="s">
        <v>335</v>
      </c>
      <c r="AF47" s="6" t="s">
        <v>423</v>
      </c>
      <c r="AG47" s="6" t="str">
        <f t="shared" si="1"/>
        <v>24.3919363,121.7835493</v>
      </c>
      <c r="AH47" s="6"/>
      <c r="AI47" s="5" t="s">
        <v>386</v>
      </c>
      <c r="AJ47" s="5" t="s">
        <v>424</v>
      </c>
    </row>
    <row r="48" ht="79.5" customHeight="1">
      <c r="A48" s="5" t="s">
        <v>36</v>
      </c>
      <c r="B48" s="5" t="s">
        <v>425</v>
      </c>
      <c r="C48" s="5" t="s">
        <v>38</v>
      </c>
      <c r="D48" s="5" t="s">
        <v>39</v>
      </c>
      <c r="E48" s="5" t="s">
        <v>40</v>
      </c>
      <c r="F48" s="5" t="s">
        <v>329</v>
      </c>
      <c r="G48" s="5" t="s">
        <v>88</v>
      </c>
      <c r="H48" s="5" t="s">
        <v>419</v>
      </c>
      <c r="I48" s="5" t="s">
        <v>426</v>
      </c>
      <c r="J48" s="5" t="s">
        <v>45</v>
      </c>
      <c r="K48" s="5" t="s">
        <v>46</v>
      </c>
      <c r="L48" s="5">
        <v>121.7844965</v>
      </c>
      <c r="M48" s="5">
        <v>24.3888505</v>
      </c>
      <c r="N48" s="5">
        <v>121.7844896</v>
      </c>
      <c r="O48" s="5">
        <v>24.3837342</v>
      </c>
      <c r="P48" s="6" t="s">
        <v>427</v>
      </c>
      <c r="Q48" s="5" t="s">
        <v>92</v>
      </c>
      <c r="R48" s="5" t="s">
        <v>184</v>
      </c>
      <c r="S48" s="5">
        <v>30.0</v>
      </c>
      <c r="T48" s="5">
        <v>580.0</v>
      </c>
      <c r="U48" s="5">
        <v>30.0</v>
      </c>
      <c r="V48" s="5"/>
      <c r="W48" s="5" t="s">
        <v>50</v>
      </c>
      <c r="X48" s="5"/>
      <c r="Y48" s="6" t="s">
        <v>51</v>
      </c>
      <c r="Z48" s="5" t="s">
        <v>428</v>
      </c>
      <c r="AA48" s="5" t="s">
        <v>72</v>
      </c>
      <c r="AB48" s="5"/>
      <c r="AC48" s="5" t="s">
        <v>51</v>
      </c>
      <c r="AD48" s="5" t="s">
        <v>51</v>
      </c>
      <c r="AE48" s="5" t="s">
        <v>335</v>
      </c>
      <c r="AF48" s="6" t="s">
        <v>429</v>
      </c>
      <c r="AG48" s="6" t="str">
        <f t="shared" si="1"/>
        <v>24.3888505,121.7844965</v>
      </c>
      <c r="AH48" s="6"/>
      <c r="AI48" s="5" t="s">
        <v>386</v>
      </c>
      <c r="AJ48" s="5" t="s">
        <v>430</v>
      </c>
    </row>
    <row r="49" ht="79.5" customHeight="1">
      <c r="A49" s="5" t="s">
        <v>36</v>
      </c>
      <c r="B49" s="5" t="s">
        <v>431</v>
      </c>
      <c r="C49" s="5" t="s">
        <v>38</v>
      </c>
      <c r="D49" s="5" t="s">
        <v>39</v>
      </c>
      <c r="E49" s="5" t="s">
        <v>40</v>
      </c>
      <c r="F49" s="5" t="s">
        <v>329</v>
      </c>
      <c r="G49" s="5" t="s">
        <v>88</v>
      </c>
      <c r="H49" s="5" t="s">
        <v>426</v>
      </c>
      <c r="I49" s="5" t="s">
        <v>432</v>
      </c>
      <c r="J49" s="5" t="s">
        <v>45</v>
      </c>
      <c r="K49" s="5" t="s">
        <v>46</v>
      </c>
      <c r="L49" s="5">
        <v>121.7844896</v>
      </c>
      <c r="M49" s="5">
        <v>24.3837342</v>
      </c>
      <c r="N49" s="5">
        <v>121.7841051</v>
      </c>
      <c r="O49" s="5">
        <v>24.3765193</v>
      </c>
      <c r="P49" s="6" t="s">
        <v>433</v>
      </c>
      <c r="Q49" s="5" t="s">
        <v>92</v>
      </c>
      <c r="R49" s="5"/>
      <c r="S49" s="5">
        <v>40.0</v>
      </c>
      <c r="T49" s="5">
        <v>900.0</v>
      </c>
      <c r="U49" s="5">
        <v>70.0</v>
      </c>
      <c r="V49" s="5"/>
      <c r="W49" s="5" t="s">
        <v>70</v>
      </c>
      <c r="X49" s="5"/>
      <c r="Y49" s="6" t="s">
        <v>434</v>
      </c>
      <c r="Z49" s="5" t="s">
        <v>435</v>
      </c>
      <c r="AA49" s="5" t="s">
        <v>72</v>
      </c>
      <c r="AB49" s="5"/>
      <c r="AC49" s="5" t="s">
        <v>51</v>
      </c>
      <c r="AD49" s="5" t="s">
        <v>51</v>
      </c>
      <c r="AE49" s="5" t="s">
        <v>409</v>
      </c>
      <c r="AF49" s="6" t="s">
        <v>436</v>
      </c>
      <c r="AG49" s="6" t="str">
        <f t="shared" si="1"/>
        <v>24.3837342,121.7844896</v>
      </c>
      <c r="AH49" s="6"/>
      <c r="AI49" s="5" t="s">
        <v>386</v>
      </c>
      <c r="AJ49" s="5" t="s">
        <v>437</v>
      </c>
    </row>
    <row r="50" ht="79.5" customHeight="1">
      <c r="A50" s="5" t="s">
        <v>36</v>
      </c>
      <c r="B50" s="5" t="s">
        <v>438</v>
      </c>
      <c r="C50" s="5" t="s">
        <v>38</v>
      </c>
      <c r="D50" s="5" t="s">
        <v>39</v>
      </c>
      <c r="E50" s="5" t="s">
        <v>40</v>
      </c>
      <c r="F50" s="5" t="s">
        <v>329</v>
      </c>
      <c r="G50" s="5" t="s">
        <v>88</v>
      </c>
      <c r="H50" s="5" t="s">
        <v>439</v>
      </c>
      <c r="I50" s="5" t="s">
        <v>432</v>
      </c>
      <c r="J50" s="5" t="s">
        <v>59</v>
      </c>
      <c r="K50" s="5" t="s">
        <v>101</v>
      </c>
      <c r="L50" s="5">
        <v>121.783885</v>
      </c>
      <c r="M50" s="5">
        <v>24.3773013</v>
      </c>
      <c r="N50" s="5">
        <v>121.7841051</v>
      </c>
      <c r="O50" s="5">
        <v>24.3765193</v>
      </c>
      <c r="P50" s="6" t="s">
        <v>440</v>
      </c>
      <c r="Q50" s="5" t="s">
        <v>92</v>
      </c>
      <c r="R50" s="5" t="s">
        <v>103</v>
      </c>
      <c r="S50" s="5">
        <v>40.0</v>
      </c>
      <c r="T50" s="5">
        <v>100.0</v>
      </c>
      <c r="U50" s="5">
        <v>60.0</v>
      </c>
      <c r="V50" s="5"/>
      <c r="W50" s="5" t="s">
        <v>50</v>
      </c>
      <c r="X50" s="5"/>
      <c r="Y50" s="6" t="s">
        <v>441</v>
      </c>
      <c r="Z50" s="5" t="s">
        <v>393</v>
      </c>
      <c r="AA50" s="5"/>
      <c r="AB50" s="5"/>
      <c r="AC50" s="5" t="s">
        <v>51</v>
      </c>
      <c r="AD50" s="5" t="s">
        <v>51</v>
      </c>
      <c r="AE50" s="5" t="s">
        <v>409</v>
      </c>
      <c r="AF50" s="6" t="s">
        <v>442</v>
      </c>
      <c r="AG50" s="6" t="str">
        <f t="shared" si="1"/>
        <v>24.3773013,121.783885</v>
      </c>
      <c r="AH50" s="6"/>
      <c r="AI50" s="5" t="s">
        <v>386</v>
      </c>
      <c r="AJ50" s="5" t="s">
        <v>443</v>
      </c>
    </row>
    <row r="51" ht="79.5" customHeight="1">
      <c r="A51" s="5" t="s">
        <v>36</v>
      </c>
      <c r="B51" s="5" t="s">
        <v>444</v>
      </c>
      <c r="C51" s="5" t="s">
        <v>38</v>
      </c>
      <c r="D51" s="5" t="s">
        <v>39</v>
      </c>
      <c r="E51" s="5" t="s">
        <v>40</v>
      </c>
      <c r="F51" s="5" t="s">
        <v>329</v>
      </c>
      <c r="G51" s="5" t="s">
        <v>88</v>
      </c>
      <c r="H51" s="5" t="s">
        <v>432</v>
      </c>
      <c r="I51" s="5" t="s">
        <v>445</v>
      </c>
      <c r="J51" s="5" t="s">
        <v>45</v>
      </c>
      <c r="K51" s="5" t="s">
        <v>46</v>
      </c>
      <c r="L51" s="5">
        <v>121.7841051</v>
      </c>
      <c r="M51" s="5">
        <v>24.3765193</v>
      </c>
      <c r="N51" s="5">
        <v>121.7846335</v>
      </c>
      <c r="O51" s="5">
        <v>24.3744325</v>
      </c>
      <c r="P51" s="6" t="s">
        <v>446</v>
      </c>
      <c r="Q51" s="5" t="s">
        <v>92</v>
      </c>
      <c r="R51" s="5"/>
      <c r="S51" s="5">
        <v>30.0</v>
      </c>
      <c r="T51" s="5">
        <v>250.0</v>
      </c>
      <c r="U51" s="5">
        <v>60.0</v>
      </c>
      <c r="V51" s="5"/>
      <c r="W51" s="5" t="s">
        <v>70</v>
      </c>
      <c r="X51" s="5"/>
      <c r="Y51" s="6" t="s">
        <v>447</v>
      </c>
      <c r="Z51" s="5" t="s">
        <v>393</v>
      </c>
      <c r="AA51" s="5" t="s">
        <v>72</v>
      </c>
      <c r="AB51" s="5"/>
      <c r="AC51" s="5" t="s">
        <v>51</v>
      </c>
      <c r="AD51" s="5" t="s">
        <v>51</v>
      </c>
      <c r="AE51" s="5" t="s">
        <v>335</v>
      </c>
      <c r="AF51" s="6" t="s">
        <v>448</v>
      </c>
      <c r="AG51" s="6" t="str">
        <f t="shared" si="1"/>
        <v>24.3765193,121.7841051</v>
      </c>
      <c r="AH51" s="6"/>
      <c r="AI51" s="5" t="s">
        <v>386</v>
      </c>
      <c r="AJ51" s="5" t="s">
        <v>449</v>
      </c>
    </row>
    <row r="52" ht="79.5" customHeight="1">
      <c r="A52" s="5" t="s">
        <v>36</v>
      </c>
      <c r="B52" s="5" t="s">
        <v>450</v>
      </c>
      <c r="C52" s="5" t="s">
        <v>38</v>
      </c>
      <c r="D52" s="5" t="s">
        <v>39</v>
      </c>
      <c r="E52" s="5" t="s">
        <v>40</v>
      </c>
      <c r="F52" s="5" t="s">
        <v>329</v>
      </c>
      <c r="G52" s="5" t="s">
        <v>88</v>
      </c>
      <c r="H52" s="5" t="s">
        <v>451</v>
      </c>
      <c r="I52" s="5" t="s">
        <v>452</v>
      </c>
      <c r="J52" s="5" t="s">
        <v>59</v>
      </c>
      <c r="K52" s="5" t="s">
        <v>101</v>
      </c>
      <c r="L52" s="5">
        <v>121.7849401</v>
      </c>
      <c r="M52" s="5">
        <v>24.3740842</v>
      </c>
      <c r="N52" s="5">
        <v>121.7850987</v>
      </c>
      <c r="O52" s="5">
        <v>24.3729431</v>
      </c>
      <c r="P52" s="6" t="s">
        <v>453</v>
      </c>
      <c r="Q52" s="5" t="s">
        <v>92</v>
      </c>
      <c r="R52" s="5" t="s">
        <v>103</v>
      </c>
      <c r="S52" s="5">
        <v>40.0</v>
      </c>
      <c r="T52" s="5">
        <v>150.0</v>
      </c>
      <c r="U52" s="5">
        <v>80.0</v>
      </c>
      <c r="V52" s="5"/>
      <c r="W52" s="5" t="s">
        <v>50</v>
      </c>
      <c r="X52" s="5"/>
      <c r="Y52" s="6" t="s">
        <v>454</v>
      </c>
      <c r="Z52" s="5" t="s">
        <v>114</v>
      </c>
      <c r="AA52" s="5"/>
      <c r="AB52" s="5"/>
      <c r="AC52" s="5" t="s">
        <v>51</v>
      </c>
      <c r="AD52" s="5" t="s">
        <v>51</v>
      </c>
      <c r="AE52" s="5" t="s">
        <v>409</v>
      </c>
      <c r="AF52" s="6" t="s">
        <v>455</v>
      </c>
      <c r="AG52" s="6" t="str">
        <f t="shared" si="1"/>
        <v>24.3740842,121.7849401</v>
      </c>
      <c r="AH52" s="6"/>
      <c r="AI52" s="5" t="s">
        <v>386</v>
      </c>
      <c r="AJ52" s="5" t="s">
        <v>456</v>
      </c>
    </row>
    <row r="53" ht="79.5" customHeight="1">
      <c r="A53" s="5" t="s">
        <v>36</v>
      </c>
      <c r="B53" s="5" t="s">
        <v>457</v>
      </c>
      <c r="C53" s="5" t="s">
        <v>38</v>
      </c>
      <c r="D53" s="5" t="s">
        <v>39</v>
      </c>
      <c r="E53" s="5" t="s">
        <v>40</v>
      </c>
      <c r="F53" s="5" t="s">
        <v>329</v>
      </c>
      <c r="G53" s="5" t="s">
        <v>88</v>
      </c>
      <c r="H53" s="5" t="s">
        <v>452</v>
      </c>
      <c r="I53" s="5" t="s">
        <v>458</v>
      </c>
      <c r="J53" s="5" t="s">
        <v>45</v>
      </c>
      <c r="K53" s="5" t="s">
        <v>46</v>
      </c>
      <c r="L53" s="5">
        <v>121.7850987</v>
      </c>
      <c r="M53" s="5">
        <v>24.3729431</v>
      </c>
      <c r="N53" s="5">
        <v>121.7786835</v>
      </c>
      <c r="O53" s="5">
        <v>24.3699006</v>
      </c>
      <c r="P53" s="6" t="s">
        <v>357</v>
      </c>
      <c r="Q53" s="5" t="s">
        <v>92</v>
      </c>
      <c r="R53" s="5"/>
      <c r="S53" s="5">
        <v>50.0</v>
      </c>
      <c r="T53" s="5">
        <v>800.0</v>
      </c>
      <c r="U53" s="5">
        <v>80.0</v>
      </c>
      <c r="V53" s="5"/>
      <c r="W53" s="5" t="s">
        <v>70</v>
      </c>
      <c r="X53" s="5"/>
      <c r="Y53" s="6" t="s">
        <v>459</v>
      </c>
      <c r="Z53" s="5" t="s">
        <v>460</v>
      </c>
      <c r="AA53" s="5" t="s">
        <v>72</v>
      </c>
      <c r="AB53" s="5"/>
      <c r="AC53" s="5" t="s">
        <v>51</v>
      </c>
      <c r="AD53" s="5" t="s">
        <v>51</v>
      </c>
      <c r="AE53" s="5" t="s">
        <v>409</v>
      </c>
      <c r="AF53" s="6" t="s">
        <v>461</v>
      </c>
      <c r="AG53" s="6" t="str">
        <f t="shared" si="1"/>
        <v>24.3729431,121.7850987</v>
      </c>
      <c r="AH53" s="6"/>
      <c r="AI53" s="5" t="s">
        <v>386</v>
      </c>
      <c r="AJ53" s="5" t="s">
        <v>462</v>
      </c>
    </row>
    <row r="54" ht="79.5" customHeight="1">
      <c r="A54" s="5" t="s">
        <v>36</v>
      </c>
      <c r="B54" s="5" t="s">
        <v>463</v>
      </c>
      <c r="C54" s="5" t="s">
        <v>38</v>
      </c>
      <c r="D54" s="5" t="s">
        <v>39</v>
      </c>
      <c r="E54" s="5" t="s">
        <v>40</v>
      </c>
      <c r="F54" s="5" t="s">
        <v>329</v>
      </c>
      <c r="G54" s="5" t="s">
        <v>88</v>
      </c>
      <c r="H54" s="5" t="s">
        <v>464</v>
      </c>
      <c r="I54" s="5" t="s">
        <v>465</v>
      </c>
      <c r="J54" s="5" t="s">
        <v>59</v>
      </c>
      <c r="K54" s="5" t="s">
        <v>101</v>
      </c>
      <c r="L54" s="5">
        <v>121.7794951</v>
      </c>
      <c r="M54" s="5">
        <v>24.3694587</v>
      </c>
      <c r="N54" s="5">
        <v>121.7790458</v>
      </c>
      <c r="O54" s="5">
        <v>24.3696152</v>
      </c>
      <c r="P54" s="6" t="s">
        <v>466</v>
      </c>
      <c r="Q54" s="5" t="s">
        <v>92</v>
      </c>
      <c r="R54" s="5" t="s">
        <v>103</v>
      </c>
      <c r="S54" s="5">
        <v>200.0</v>
      </c>
      <c r="T54" s="5">
        <v>50.0</v>
      </c>
      <c r="U54" s="5">
        <v>90.0</v>
      </c>
      <c r="V54" s="5" t="s">
        <v>49</v>
      </c>
      <c r="W54" s="5" t="s">
        <v>50</v>
      </c>
      <c r="X54" s="5"/>
      <c r="Y54" s="6" t="s">
        <v>441</v>
      </c>
      <c r="Z54" s="5" t="s">
        <v>467</v>
      </c>
      <c r="AA54" s="5"/>
      <c r="AB54" s="5"/>
      <c r="AC54" s="5" t="s">
        <v>51</v>
      </c>
      <c r="AD54" s="5" t="s">
        <v>51</v>
      </c>
      <c r="AE54" s="5" t="s">
        <v>468</v>
      </c>
      <c r="AF54" s="6" t="s">
        <v>469</v>
      </c>
      <c r="AG54" s="6" t="str">
        <f t="shared" si="1"/>
        <v>24.3694587,121.7794951</v>
      </c>
      <c r="AH54" s="6"/>
      <c r="AI54" s="5" t="s">
        <v>386</v>
      </c>
      <c r="AJ54" s="5" t="s">
        <v>470</v>
      </c>
    </row>
    <row r="55" ht="79.5" customHeight="1">
      <c r="A55" s="5" t="s">
        <v>36</v>
      </c>
      <c r="B55" s="5" t="s">
        <v>471</v>
      </c>
      <c r="C55" s="5" t="s">
        <v>38</v>
      </c>
      <c r="D55" s="5" t="s">
        <v>39</v>
      </c>
      <c r="E55" s="5" t="s">
        <v>40</v>
      </c>
      <c r="F55" s="5" t="s">
        <v>329</v>
      </c>
      <c r="G55" s="5" t="s">
        <v>88</v>
      </c>
      <c r="H55" s="5" t="s">
        <v>472</v>
      </c>
      <c r="I55" s="5" t="s">
        <v>473</v>
      </c>
      <c r="J55" s="5" t="s">
        <v>45</v>
      </c>
      <c r="K55" s="5" t="s">
        <v>46</v>
      </c>
      <c r="L55" s="5">
        <v>121.776959</v>
      </c>
      <c r="M55" s="5">
        <v>24.3688558</v>
      </c>
      <c r="N55" s="5">
        <v>121.7808325</v>
      </c>
      <c r="O55" s="5">
        <v>24.3654806</v>
      </c>
      <c r="P55" s="6" t="s">
        <v>474</v>
      </c>
      <c r="Q55" s="5" t="s">
        <v>92</v>
      </c>
      <c r="R55" s="5" t="s">
        <v>103</v>
      </c>
      <c r="S55" s="5">
        <v>40.0</v>
      </c>
      <c r="T55" s="5">
        <v>1390.0</v>
      </c>
      <c r="U55" s="5">
        <v>25.0</v>
      </c>
      <c r="V55" s="5"/>
      <c r="W55" s="5" t="s">
        <v>70</v>
      </c>
      <c r="X55" s="5"/>
      <c r="Y55" s="6" t="s">
        <v>475</v>
      </c>
      <c r="Z55" s="5" t="s">
        <v>476</v>
      </c>
      <c r="AA55" s="5" t="s">
        <v>72</v>
      </c>
      <c r="AB55" s="5"/>
      <c r="AC55" s="5" t="s">
        <v>51</v>
      </c>
      <c r="AD55" s="5" t="s">
        <v>51</v>
      </c>
      <c r="AE55" s="5" t="s">
        <v>468</v>
      </c>
      <c r="AF55" s="6" t="s">
        <v>477</v>
      </c>
      <c r="AG55" s="6" t="str">
        <f t="shared" si="1"/>
        <v>24.3688558,121.776959</v>
      </c>
      <c r="AH55" s="6"/>
      <c r="AI55" s="5" t="s">
        <v>386</v>
      </c>
      <c r="AJ55" s="5" t="s">
        <v>478</v>
      </c>
    </row>
    <row r="56" ht="79.5" customHeight="1">
      <c r="A56" s="5" t="s">
        <v>36</v>
      </c>
      <c r="B56" s="5" t="s">
        <v>479</v>
      </c>
      <c r="C56" s="5" t="s">
        <v>38</v>
      </c>
      <c r="D56" s="5" t="s">
        <v>39</v>
      </c>
      <c r="E56" s="5" t="s">
        <v>40</v>
      </c>
      <c r="F56" s="5" t="s">
        <v>41</v>
      </c>
      <c r="G56" s="5" t="s">
        <v>88</v>
      </c>
      <c r="H56" s="5" t="s">
        <v>472</v>
      </c>
      <c r="I56" s="5" t="s">
        <v>480</v>
      </c>
      <c r="J56" s="5" t="s">
        <v>59</v>
      </c>
      <c r="K56" s="5" t="s">
        <v>101</v>
      </c>
      <c r="L56" s="5">
        <v>121.7771252</v>
      </c>
      <c r="M56" s="5">
        <v>24.3689501</v>
      </c>
      <c r="N56" s="5">
        <v>121.7756164</v>
      </c>
      <c r="O56" s="5">
        <v>24.3678839</v>
      </c>
      <c r="P56" s="6" t="s">
        <v>481</v>
      </c>
      <c r="Q56" s="5" t="s">
        <v>92</v>
      </c>
      <c r="R56" s="5" t="s">
        <v>103</v>
      </c>
      <c r="S56" s="5">
        <v>25.0</v>
      </c>
      <c r="T56" s="5">
        <v>30.0</v>
      </c>
      <c r="U56" s="5">
        <v>45.0</v>
      </c>
      <c r="V56" s="5"/>
      <c r="W56" s="5" t="s">
        <v>70</v>
      </c>
      <c r="X56" s="5"/>
      <c r="Y56" s="6" t="s">
        <v>482</v>
      </c>
      <c r="Z56" s="5" t="s">
        <v>224</v>
      </c>
      <c r="AA56" s="5"/>
      <c r="AB56" s="5"/>
      <c r="AC56" s="5" t="s">
        <v>51</v>
      </c>
      <c r="AD56" s="5" t="s">
        <v>51</v>
      </c>
      <c r="AE56" s="5" t="s">
        <v>195</v>
      </c>
      <c r="AF56" s="6" t="s">
        <v>483</v>
      </c>
      <c r="AG56" s="6" t="str">
        <f t="shared" si="1"/>
        <v>24.3689501,121.7771252</v>
      </c>
      <c r="AH56" s="6"/>
      <c r="AI56" s="5" t="s">
        <v>386</v>
      </c>
      <c r="AJ56" s="5" t="s">
        <v>484</v>
      </c>
    </row>
    <row r="57" ht="79.5" customHeight="1">
      <c r="A57" s="5" t="s">
        <v>36</v>
      </c>
      <c r="B57" s="5" t="s">
        <v>485</v>
      </c>
      <c r="C57" s="5" t="s">
        <v>38</v>
      </c>
      <c r="D57" s="5" t="s">
        <v>39</v>
      </c>
      <c r="E57" s="5" t="s">
        <v>40</v>
      </c>
      <c r="F57" s="5" t="s">
        <v>329</v>
      </c>
      <c r="G57" s="5" t="s">
        <v>88</v>
      </c>
      <c r="H57" s="5" t="s">
        <v>486</v>
      </c>
      <c r="I57" s="5" t="s">
        <v>487</v>
      </c>
      <c r="J57" s="5" t="s">
        <v>59</v>
      </c>
      <c r="K57" s="5" t="s">
        <v>101</v>
      </c>
      <c r="L57" s="5">
        <v>121.7760893</v>
      </c>
      <c r="M57" s="5">
        <v>24.3667504</v>
      </c>
      <c r="N57" s="5">
        <v>121.7804523</v>
      </c>
      <c r="O57" s="5">
        <v>24.3663532</v>
      </c>
      <c r="P57" s="6" t="s">
        <v>488</v>
      </c>
      <c r="Q57" s="5" t="s">
        <v>92</v>
      </c>
      <c r="R57" s="5"/>
      <c r="S57" s="5">
        <v>200.0</v>
      </c>
      <c r="T57" s="5">
        <v>200.0</v>
      </c>
      <c r="U57" s="5">
        <v>90.0</v>
      </c>
      <c r="V57" s="5"/>
      <c r="W57" s="5" t="s">
        <v>70</v>
      </c>
      <c r="X57" s="5"/>
      <c r="Y57" s="6" t="s">
        <v>489</v>
      </c>
      <c r="Z57" s="5" t="s">
        <v>155</v>
      </c>
      <c r="AA57" s="5" t="s">
        <v>72</v>
      </c>
      <c r="AB57" s="5"/>
      <c r="AC57" s="5" t="s">
        <v>51</v>
      </c>
      <c r="AD57" s="5" t="s">
        <v>51</v>
      </c>
      <c r="AE57" s="5" t="s">
        <v>468</v>
      </c>
      <c r="AF57" s="6" t="s">
        <v>490</v>
      </c>
      <c r="AG57" s="6" t="str">
        <f t="shared" si="1"/>
        <v>24.3667504,121.7760893</v>
      </c>
      <c r="AH57" s="6"/>
      <c r="AI57" s="5" t="s">
        <v>386</v>
      </c>
      <c r="AJ57" s="5" t="s">
        <v>491</v>
      </c>
    </row>
    <row r="58" ht="79.5" customHeight="1">
      <c r="A58" s="5" t="s">
        <v>36</v>
      </c>
      <c r="B58" s="5" t="s">
        <v>492</v>
      </c>
      <c r="C58" s="5" t="s">
        <v>38</v>
      </c>
      <c r="D58" s="5" t="s">
        <v>39</v>
      </c>
      <c r="E58" s="5" t="s">
        <v>40</v>
      </c>
      <c r="F58" s="5" t="s">
        <v>329</v>
      </c>
      <c r="G58" s="5" t="s">
        <v>88</v>
      </c>
      <c r="H58" s="5" t="s">
        <v>473</v>
      </c>
      <c r="I58" s="5" t="s">
        <v>493</v>
      </c>
      <c r="J58" s="5" t="s">
        <v>45</v>
      </c>
      <c r="K58" s="5" t="s">
        <v>46</v>
      </c>
      <c r="L58" s="5">
        <v>121.7803653</v>
      </c>
      <c r="M58" s="5">
        <v>24.3650241</v>
      </c>
      <c r="N58" s="5">
        <v>121.7791759</v>
      </c>
      <c r="O58" s="5">
        <v>24.3636123</v>
      </c>
      <c r="P58" s="6" t="s">
        <v>494</v>
      </c>
      <c r="Q58" s="5" t="s">
        <v>92</v>
      </c>
      <c r="R58" s="5" t="s">
        <v>103</v>
      </c>
      <c r="S58" s="5">
        <v>30.0</v>
      </c>
      <c r="T58" s="5">
        <v>170.0</v>
      </c>
      <c r="U58" s="5">
        <v>60.0</v>
      </c>
      <c r="V58" s="5"/>
      <c r="W58" s="5" t="s">
        <v>137</v>
      </c>
      <c r="X58" s="5" t="s">
        <v>382</v>
      </c>
      <c r="Y58" s="6" t="s">
        <v>495</v>
      </c>
      <c r="Z58" s="5" t="s">
        <v>496</v>
      </c>
      <c r="AA58" s="5" t="s">
        <v>72</v>
      </c>
      <c r="AB58" s="5"/>
      <c r="AC58" s="5" t="s">
        <v>51</v>
      </c>
      <c r="AD58" s="5" t="s">
        <v>51</v>
      </c>
      <c r="AE58" s="5" t="s">
        <v>468</v>
      </c>
      <c r="AF58" s="6" t="s">
        <v>497</v>
      </c>
      <c r="AG58" s="6" t="str">
        <f t="shared" si="1"/>
        <v>24.3650241,121.7803653</v>
      </c>
      <c r="AH58" s="6"/>
      <c r="AI58" s="5" t="s">
        <v>386</v>
      </c>
      <c r="AJ58" s="5" t="s">
        <v>498</v>
      </c>
    </row>
    <row r="59" ht="79.5" customHeight="1">
      <c r="A59" s="5" t="s">
        <v>36</v>
      </c>
      <c r="B59" s="5" t="s">
        <v>499</v>
      </c>
      <c r="C59" s="5" t="s">
        <v>38</v>
      </c>
      <c r="D59" s="5" t="s">
        <v>39</v>
      </c>
      <c r="E59" s="5" t="s">
        <v>40</v>
      </c>
      <c r="F59" s="5" t="s">
        <v>329</v>
      </c>
      <c r="G59" s="5" t="s">
        <v>88</v>
      </c>
      <c r="H59" s="5" t="s">
        <v>500</v>
      </c>
      <c r="I59" s="5" t="s">
        <v>501</v>
      </c>
      <c r="J59" s="5" t="s">
        <v>45</v>
      </c>
      <c r="K59" s="5" t="s">
        <v>46</v>
      </c>
      <c r="L59" s="5">
        <v>121.7791759</v>
      </c>
      <c r="M59" s="5">
        <v>24.3636123</v>
      </c>
      <c r="N59" s="5">
        <v>121.779342</v>
      </c>
      <c r="O59" s="5">
        <v>24.3599612</v>
      </c>
      <c r="P59" s="6" t="s">
        <v>502</v>
      </c>
      <c r="Q59" s="5" t="s">
        <v>92</v>
      </c>
      <c r="R59" s="5" t="s">
        <v>103</v>
      </c>
      <c r="S59" s="5">
        <v>50.0</v>
      </c>
      <c r="T59" s="5">
        <v>290.0</v>
      </c>
      <c r="U59" s="5">
        <v>80.0</v>
      </c>
      <c r="V59" s="5"/>
      <c r="W59" s="5" t="s">
        <v>50</v>
      </c>
      <c r="X59" s="5"/>
      <c r="Y59" s="6" t="s">
        <v>51</v>
      </c>
      <c r="Z59" s="5" t="s">
        <v>393</v>
      </c>
      <c r="AA59" s="5" t="s">
        <v>72</v>
      </c>
      <c r="AB59" s="5"/>
      <c r="AC59" s="5" t="s">
        <v>51</v>
      </c>
      <c r="AD59" s="5" t="s">
        <v>51</v>
      </c>
      <c r="AE59" s="5" t="s">
        <v>468</v>
      </c>
      <c r="AF59" s="6" t="s">
        <v>503</v>
      </c>
      <c r="AG59" s="6" t="str">
        <f t="shared" si="1"/>
        <v>24.3636123,121.7791759</v>
      </c>
      <c r="AH59" s="6"/>
      <c r="AI59" s="5" t="s">
        <v>386</v>
      </c>
      <c r="AJ59" s="5" t="s">
        <v>504</v>
      </c>
    </row>
    <row r="60" ht="79.5" customHeight="1">
      <c r="A60" s="5" t="s">
        <v>36</v>
      </c>
      <c r="B60" s="5" t="s">
        <v>505</v>
      </c>
      <c r="C60" s="5" t="s">
        <v>38</v>
      </c>
      <c r="D60" s="5" t="s">
        <v>39</v>
      </c>
      <c r="E60" s="5" t="s">
        <v>40</v>
      </c>
      <c r="F60" s="5" t="s">
        <v>329</v>
      </c>
      <c r="G60" s="5" t="s">
        <v>88</v>
      </c>
      <c r="H60" s="5" t="s">
        <v>501</v>
      </c>
      <c r="I60" s="5" t="s">
        <v>506</v>
      </c>
      <c r="J60" s="5" t="s">
        <v>45</v>
      </c>
      <c r="K60" s="5" t="s">
        <v>46</v>
      </c>
      <c r="L60" s="5">
        <v>121.779342</v>
      </c>
      <c r="M60" s="5">
        <v>24.3599612</v>
      </c>
      <c r="N60" s="5">
        <v>121.7773554</v>
      </c>
      <c r="O60" s="5">
        <v>24.356542</v>
      </c>
      <c r="P60" s="6" t="s">
        <v>507</v>
      </c>
      <c r="Q60" s="5" t="s">
        <v>92</v>
      </c>
      <c r="R60" s="5" t="s">
        <v>103</v>
      </c>
      <c r="S60" s="5">
        <v>50.0</v>
      </c>
      <c r="T60" s="5">
        <v>550.0</v>
      </c>
      <c r="U60" s="5">
        <v>80.0</v>
      </c>
      <c r="V60" s="5"/>
      <c r="W60" s="5" t="s">
        <v>50</v>
      </c>
      <c r="X60" s="5"/>
      <c r="Y60" s="6" t="s">
        <v>508</v>
      </c>
      <c r="Z60" s="5" t="s">
        <v>509</v>
      </c>
      <c r="AA60" s="5" t="s">
        <v>72</v>
      </c>
      <c r="AB60" s="5"/>
      <c r="AC60" s="5" t="s">
        <v>51</v>
      </c>
      <c r="AD60" s="5" t="s">
        <v>51</v>
      </c>
      <c r="AE60" s="5" t="s">
        <v>468</v>
      </c>
      <c r="AF60" s="6" t="s">
        <v>510</v>
      </c>
      <c r="AG60" s="6" t="str">
        <f t="shared" si="1"/>
        <v>24.3599612,121.779342</v>
      </c>
      <c r="AH60" s="6"/>
      <c r="AI60" s="5" t="s">
        <v>386</v>
      </c>
      <c r="AJ60" s="5" t="s">
        <v>511</v>
      </c>
    </row>
    <row r="61" ht="79.5" customHeight="1">
      <c r="A61" s="5" t="s">
        <v>36</v>
      </c>
      <c r="B61" s="5" t="s">
        <v>512</v>
      </c>
      <c r="C61" s="5" t="s">
        <v>38</v>
      </c>
      <c r="D61" s="5" t="s">
        <v>39</v>
      </c>
      <c r="E61" s="5" t="s">
        <v>40</v>
      </c>
      <c r="F61" s="5" t="s">
        <v>329</v>
      </c>
      <c r="G61" s="5" t="s">
        <v>88</v>
      </c>
      <c r="H61" s="5" t="s">
        <v>513</v>
      </c>
      <c r="I61" s="5" t="s">
        <v>514</v>
      </c>
      <c r="J61" s="5" t="s">
        <v>45</v>
      </c>
      <c r="K61" s="5" t="s">
        <v>46</v>
      </c>
      <c r="L61" s="5">
        <v>121.7773588</v>
      </c>
      <c r="M61" s="5">
        <v>24.3556418</v>
      </c>
      <c r="N61" s="5">
        <v>121.7759263</v>
      </c>
      <c r="O61" s="5">
        <v>24.3508527</v>
      </c>
      <c r="P61" s="6" t="s">
        <v>515</v>
      </c>
      <c r="Q61" s="5" t="s">
        <v>92</v>
      </c>
      <c r="R61" s="5" t="s">
        <v>103</v>
      </c>
      <c r="S61" s="5">
        <v>80.0</v>
      </c>
      <c r="T61" s="5">
        <v>600.0</v>
      </c>
      <c r="U61" s="5">
        <v>80.0</v>
      </c>
      <c r="V61" s="5"/>
      <c r="W61" s="5" t="s">
        <v>50</v>
      </c>
      <c r="X61" s="5"/>
      <c r="Y61" s="6" t="s">
        <v>516</v>
      </c>
      <c r="Z61" s="5" t="s">
        <v>517</v>
      </c>
      <c r="AA61" s="5" t="s">
        <v>72</v>
      </c>
      <c r="AB61" s="5"/>
      <c r="AC61" s="5" t="s">
        <v>51</v>
      </c>
      <c r="AD61" s="5" t="s">
        <v>51</v>
      </c>
      <c r="AE61" s="5" t="s">
        <v>518</v>
      </c>
      <c r="AF61" s="6" t="s">
        <v>519</v>
      </c>
      <c r="AG61" s="6" t="str">
        <f t="shared" si="1"/>
        <v>24.3556418,121.7773588</v>
      </c>
      <c r="AH61" s="6"/>
      <c r="AI61" s="5" t="s">
        <v>386</v>
      </c>
      <c r="AJ61" s="5" t="s">
        <v>520</v>
      </c>
    </row>
    <row r="62" ht="79.5" customHeight="1">
      <c r="A62" s="5" t="s">
        <v>36</v>
      </c>
      <c r="B62" s="5" t="s">
        <v>521</v>
      </c>
      <c r="C62" s="5" t="s">
        <v>38</v>
      </c>
      <c r="D62" s="5" t="s">
        <v>39</v>
      </c>
      <c r="E62" s="5" t="s">
        <v>40</v>
      </c>
      <c r="F62" s="5" t="s">
        <v>329</v>
      </c>
      <c r="G62" s="5" t="s">
        <v>88</v>
      </c>
      <c r="H62" s="5" t="s">
        <v>514</v>
      </c>
      <c r="I62" s="5" t="s">
        <v>522</v>
      </c>
      <c r="J62" s="5" t="s">
        <v>45</v>
      </c>
      <c r="K62" s="5" t="s">
        <v>46</v>
      </c>
      <c r="L62" s="5">
        <v>121.7759263</v>
      </c>
      <c r="M62" s="5">
        <v>24.3508527</v>
      </c>
      <c r="N62" s="5">
        <v>121.774671</v>
      </c>
      <c r="O62" s="5">
        <v>24.3496264</v>
      </c>
      <c r="P62" s="6" t="s">
        <v>523</v>
      </c>
      <c r="Q62" s="5" t="s">
        <v>92</v>
      </c>
      <c r="R62" s="5" t="s">
        <v>103</v>
      </c>
      <c r="S62" s="5">
        <v>120.0</v>
      </c>
      <c r="T62" s="5">
        <v>200.0</v>
      </c>
      <c r="U62" s="5">
        <v>85.0</v>
      </c>
      <c r="V62" s="5"/>
      <c r="W62" s="5" t="s">
        <v>50</v>
      </c>
      <c r="X62" s="5"/>
      <c r="Y62" s="6" t="s">
        <v>524</v>
      </c>
      <c r="Z62" s="5" t="s">
        <v>155</v>
      </c>
      <c r="AA62" s="5" t="s">
        <v>72</v>
      </c>
      <c r="AB62" s="5"/>
      <c r="AC62" s="5" t="s">
        <v>51</v>
      </c>
      <c r="AD62" s="5" t="s">
        <v>51</v>
      </c>
      <c r="AE62" s="5" t="s">
        <v>518</v>
      </c>
      <c r="AF62" s="6" t="s">
        <v>525</v>
      </c>
      <c r="AG62" s="6" t="str">
        <f t="shared" si="1"/>
        <v>24.3508527,121.7759263</v>
      </c>
      <c r="AH62" s="6"/>
      <c r="AI62" s="5" t="s">
        <v>386</v>
      </c>
      <c r="AJ62" s="5" t="s">
        <v>526</v>
      </c>
    </row>
    <row r="63" ht="79.5" customHeight="1">
      <c r="A63" s="5" t="s">
        <v>36</v>
      </c>
      <c r="B63" s="5" t="s">
        <v>527</v>
      </c>
      <c r="C63" s="5" t="s">
        <v>38</v>
      </c>
      <c r="D63" s="5" t="s">
        <v>39</v>
      </c>
      <c r="E63" s="5" t="s">
        <v>40</v>
      </c>
      <c r="F63" s="5" t="s">
        <v>329</v>
      </c>
      <c r="G63" s="5" t="s">
        <v>88</v>
      </c>
      <c r="H63" s="5" t="s">
        <v>528</v>
      </c>
      <c r="I63" s="5" t="s">
        <v>529</v>
      </c>
      <c r="J63" s="5" t="s">
        <v>59</v>
      </c>
      <c r="K63" s="5" t="s">
        <v>101</v>
      </c>
      <c r="L63" s="5">
        <v>121.7756762</v>
      </c>
      <c r="M63" s="5">
        <v>24.3504667</v>
      </c>
      <c r="N63" s="5">
        <v>121.7748071</v>
      </c>
      <c r="O63" s="5">
        <v>24.350056</v>
      </c>
      <c r="P63" s="6" t="s">
        <v>530</v>
      </c>
      <c r="Q63" s="5" t="s">
        <v>92</v>
      </c>
      <c r="R63" s="5" t="s">
        <v>103</v>
      </c>
      <c r="S63" s="5">
        <v>40.0</v>
      </c>
      <c r="T63" s="5">
        <v>450.0</v>
      </c>
      <c r="U63" s="5">
        <v>25.0</v>
      </c>
      <c r="V63" s="5"/>
      <c r="W63" s="5" t="s">
        <v>50</v>
      </c>
      <c r="X63" s="5"/>
      <c r="Y63" s="6" t="s">
        <v>531</v>
      </c>
      <c r="Z63" s="5" t="s">
        <v>532</v>
      </c>
      <c r="AA63" s="5" t="s">
        <v>72</v>
      </c>
      <c r="AB63" s="5"/>
      <c r="AC63" s="5" t="s">
        <v>51</v>
      </c>
      <c r="AD63" s="5" t="s">
        <v>51</v>
      </c>
      <c r="AE63" s="5" t="s">
        <v>518</v>
      </c>
      <c r="AF63" s="6" t="s">
        <v>533</v>
      </c>
      <c r="AG63" s="6" t="str">
        <f t="shared" si="1"/>
        <v>24.3504667,121.7756762</v>
      </c>
      <c r="AH63" s="6"/>
      <c r="AI63" s="5" t="s">
        <v>386</v>
      </c>
      <c r="AJ63" s="5" t="s">
        <v>534</v>
      </c>
    </row>
    <row r="64" ht="79.5" customHeight="1">
      <c r="A64" s="5" t="s">
        <v>36</v>
      </c>
      <c r="B64" s="5" t="s">
        <v>535</v>
      </c>
      <c r="C64" s="5" t="s">
        <v>38</v>
      </c>
      <c r="D64" s="5" t="s">
        <v>39</v>
      </c>
      <c r="E64" s="5" t="s">
        <v>40</v>
      </c>
      <c r="F64" s="5" t="s">
        <v>329</v>
      </c>
      <c r="G64" s="5" t="s">
        <v>88</v>
      </c>
      <c r="H64" s="5" t="s">
        <v>522</v>
      </c>
      <c r="I64" s="5" t="s">
        <v>536</v>
      </c>
      <c r="J64" s="5" t="s">
        <v>45</v>
      </c>
      <c r="K64" s="5" t="s">
        <v>46</v>
      </c>
      <c r="L64" s="5">
        <v>121.774671</v>
      </c>
      <c r="M64" s="5">
        <v>24.3496264</v>
      </c>
      <c r="N64" s="5">
        <v>121.7709634</v>
      </c>
      <c r="O64" s="5">
        <v>24.3449396</v>
      </c>
      <c r="P64" s="6" t="s">
        <v>537</v>
      </c>
      <c r="Q64" s="5" t="s">
        <v>92</v>
      </c>
      <c r="R64" s="5"/>
      <c r="S64" s="5">
        <v>150.0</v>
      </c>
      <c r="T64" s="5">
        <v>785.0</v>
      </c>
      <c r="U64" s="5">
        <v>90.0</v>
      </c>
      <c r="V64" s="5"/>
      <c r="W64" s="5" t="s">
        <v>70</v>
      </c>
      <c r="X64" s="5"/>
      <c r="Y64" s="6" t="s">
        <v>538</v>
      </c>
      <c r="Z64" s="5" t="s">
        <v>532</v>
      </c>
      <c r="AA64" s="5" t="s">
        <v>216</v>
      </c>
      <c r="AB64" s="5"/>
      <c r="AC64" s="5" t="s">
        <v>51</v>
      </c>
      <c r="AD64" s="5" t="s">
        <v>51</v>
      </c>
      <c r="AE64" s="5" t="s">
        <v>518</v>
      </c>
      <c r="AF64" s="6" t="s">
        <v>539</v>
      </c>
      <c r="AG64" s="6" t="str">
        <f t="shared" si="1"/>
        <v>24.3496264,121.774671</v>
      </c>
      <c r="AH64" s="6"/>
      <c r="AI64" s="5" t="s">
        <v>386</v>
      </c>
      <c r="AJ64" s="5" t="s">
        <v>540</v>
      </c>
    </row>
    <row r="65" ht="79.5" customHeight="1">
      <c r="A65" s="5" t="s">
        <v>36</v>
      </c>
      <c r="B65" s="5" t="s">
        <v>541</v>
      </c>
      <c r="C65" s="5" t="s">
        <v>38</v>
      </c>
      <c r="D65" s="5" t="s">
        <v>39</v>
      </c>
      <c r="E65" s="5" t="s">
        <v>40</v>
      </c>
      <c r="F65" s="5" t="s">
        <v>329</v>
      </c>
      <c r="G65" s="5" t="s">
        <v>88</v>
      </c>
      <c r="H65" s="5" t="s">
        <v>536</v>
      </c>
      <c r="I65" s="5" t="s">
        <v>542</v>
      </c>
      <c r="J65" s="5" t="s">
        <v>45</v>
      </c>
      <c r="K65" s="5" t="s">
        <v>46</v>
      </c>
      <c r="L65" s="5">
        <v>121.7707822</v>
      </c>
      <c r="M65" s="5">
        <v>24.3451506</v>
      </c>
      <c r="N65" s="5">
        <v>121.7682999</v>
      </c>
      <c r="O65" s="5">
        <v>24.3362243</v>
      </c>
      <c r="P65" s="6" t="s">
        <v>543</v>
      </c>
      <c r="Q65" s="5" t="s">
        <v>92</v>
      </c>
      <c r="R65" s="5" t="s">
        <v>103</v>
      </c>
      <c r="S65" s="5">
        <v>50.0</v>
      </c>
      <c r="T65" s="5">
        <v>1085.0</v>
      </c>
      <c r="U65" s="5">
        <v>70.0</v>
      </c>
      <c r="V65" s="5"/>
      <c r="W65" s="5" t="s">
        <v>137</v>
      </c>
      <c r="X65" s="5" t="s">
        <v>382</v>
      </c>
      <c r="Y65" s="6" t="s">
        <v>544</v>
      </c>
      <c r="Z65" s="5" t="s">
        <v>545</v>
      </c>
      <c r="AA65" s="5" t="s">
        <v>216</v>
      </c>
      <c r="AB65" s="5"/>
      <c r="AC65" s="5" t="s">
        <v>51</v>
      </c>
      <c r="AD65" s="5" t="s">
        <v>51</v>
      </c>
      <c r="AE65" s="5" t="s">
        <v>518</v>
      </c>
      <c r="AF65" s="6" t="s">
        <v>546</v>
      </c>
      <c r="AG65" s="6" t="str">
        <f t="shared" si="1"/>
        <v>24.3451506,121.7707822</v>
      </c>
      <c r="AH65" s="6"/>
      <c r="AI65" s="5" t="s">
        <v>386</v>
      </c>
      <c r="AJ65" s="5" t="s">
        <v>547</v>
      </c>
    </row>
    <row r="66" ht="79.5" customHeight="1">
      <c r="A66" s="5" t="s">
        <v>36</v>
      </c>
      <c r="B66" s="5" t="s">
        <v>548</v>
      </c>
      <c r="C66" s="5" t="s">
        <v>38</v>
      </c>
      <c r="D66" s="5" t="s">
        <v>39</v>
      </c>
      <c r="E66" s="5" t="s">
        <v>40</v>
      </c>
      <c r="F66" s="5" t="s">
        <v>329</v>
      </c>
      <c r="G66" s="5" t="s">
        <v>88</v>
      </c>
      <c r="H66" s="5" t="s">
        <v>542</v>
      </c>
      <c r="I66" s="5" t="s">
        <v>549</v>
      </c>
      <c r="J66" s="5" t="s">
        <v>45</v>
      </c>
      <c r="K66" s="5" t="s">
        <v>46</v>
      </c>
      <c r="L66" s="5">
        <v>121.7682999</v>
      </c>
      <c r="M66" s="5">
        <v>24.3362243</v>
      </c>
      <c r="N66" s="5">
        <v>121.7676917</v>
      </c>
      <c r="O66" s="5">
        <v>24.3345093</v>
      </c>
      <c r="P66" s="6" t="s">
        <v>550</v>
      </c>
      <c r="Q66" s="5" t="s">
        <v>92</v>
      </c>
      <c r="R66" s="5" t="s">
        <v>103</v>
      </c>
      <c r="S66" s="5">
        <v>150.0</v>
      </c>
      <c r="T66" s="5">
        <v>200.0</v>
      </c>
      <c r="U66" s="5">
        <v>85.0</v>
      </c>
      <c r="V66" s="5"/>
      <c r="W66" s="5" t="s">
        <v>50</v>
      </c>
      <c r="X66" s="5"/>
      <c r="Y66" s="6" t="s">
        <v>516</v>
      </c>
      <c r="Z66" s="5" t="s">
        <v>551</v>
      </c>
      <c r="AA66" s="5" t="s">
        <v>72</v>
      </c>
      <c r="AB66" s="5"/>
      <c r="AC66" s="5" t="s">
        <v>51</v>
      </c>
      <c r="AD66" s="5" t="s">
        <v>51</v>
      </c>
      <c r="AE66" s="5" t="s">
        <v>518</v>
      </c>
      <c r="AF66" s="6" t="s">
        <v>552</v>
      </c>
      <c r="AG66" s="6" t="str">
        <f t="shared" si="1"/>
        <v>24.3362243,121.7682999</v>
      </c>
      <c r="AH66" s="6"/>
      <c r="AI66" s="5" t="s">
        <v>386</v>
      </c>
      <c r="AJ66" s="5" t="s">
        <v>553</v>
      </c>
    </row>
    <row r="67" ht="79.5" customHeight="1">
      <c r="A67" s="5" t="s">
        <v>36</v>
      </c>
      <c r="B67" s="5" t="s">
        <v>554</v>
      </c>
      <c r="C67" s="5" t="s">
        <v>38</v>
      </c>
      <c r="D67" s="5" t="s">
        <v>39</v>
      </c>
      <c r="E67" s="5" t="s">
        <v>40</v>
      </c>
      <c r="F67" s="5" t="s">
        <v>329</v>
      </c>
      <c r="G67" s="5" t="s">
        <v>88</v>
      </c>
      <c r="H67" s="5" t="s">
        <v>549</v>
      </c>
      <c r="I67" s="5" t="s">
        <v>555</v>
      </c>
      <c r="J67" s="5" t="s">
        <v>45</v>
      </c>
      <c r="K67" s="5" t="s">
        <v>46</v>
      </c>
      <c r="L67" s="5">
        <v>121.7676917</v>
      </c>
      <c r="M67" s="5">
        <v>24.3345093</v>
      </c>
      <c r="N67" s="5">
        <v>121.7649781</v>
      </c>
      <c r="O67" s="5">
        <v>24.3266928</v>
      </c>
      <c r="P67" s="6" t="s">
        <v>556</v>
      </c>
      <c r="Q67" s="5" t="s">
        <v>92</v>
      </c>
      <c r="R67" s="5" t="s">
        <v>103</v>
      </c>
      <c r="S67" s="5">
        <v>400.0</v>
      </c>
      <c r="T67" s="5">
        <v>900.0</v>
      </c>
      <c r="U67" s="5">
        <v>50.0</v>
      </c>
      <c r="V67" s="5"/>
      <c r="W67" s="5" t="s">
        <v>137</v>
      </c>
      <c r="X67" s="5" t="s">
        <v>261</v>
      </c>
      <c r="Y67" s="6" t="s">
        <v>557</v>
      </c>
      <c r="Z67" s="5" t="s">
        <v>393</v>
      </c>
      <c r="AA67" s="5" t="s">
        <v>72</v>
      </c>
      <c r="AB67" s="5"/>
      <c r="AC67" s="5" t="s">
        <v>51</v>
      </c>
      <c r="AD67" s="5" t="s">
        <v>51</v>
      </c>
      <c r="AE67" s="5" t="s">
        <v>558</v>
      </c>
      <c r="AF67" s="6" t="s">
        <v>559</v>
      </c>
      <c r="AG67" s="6" t="str">
        <f t="shared" si="1"/>
        <v>24.3345093,121.7676917</v>
      </c>
      <c r="AH67" s="6"/>
      <c r="AI67" s="5" t="s">
        <v>386</v>
      </c>
      <c r="AJ67" s="5" t="s">
        <v>560</v>
      </c>
    </row>
    <row r="68" ht="79.5" customHeight="1">
      <c r="A68" s="5" t="s">
        <v>36</v>
      </c>
      <c r="B68" s="5" t="s">
        <v>561</v>
      </c>
      <c r="C68" s="5" t="s">
        <v>38</v>
      </c>
      <c r="D68" s="5" t="s">
        <v>39</v>
      </c>
      <c r="E68" s="5" t="s">
        <v>40</v>
      </c>
      <c r="F68" s="5" t="s">
        <v>329</v>
      </c>
      <c r="G68" s="5" t="s">
        <v>88</v>
      </c>
      <c r="H68" s="5" t="s">
        <v>555</v>
      </c>
      <c r="I68" s="5" t="s">
        <v>562</v>
      </c>
      <c r="J68" s="5" t="s">
        <v>45</v>
      </c>
      <c r="K68" s="5" t="s">
        <v>46</v>
      </c>
      <c r="L68" s="5">
        <v>121.7641546</v>
      </c>
      <c r="M68" s="5">
        <v>24.325167</v>
      </c>
      <c r="N68" s="5">
        <v>121.7617011</v>
      </c>
      <c r="O68" s="5">
        <v>24.3218469</v>
      </c>
      <c r="P68" s="6" t="s">
        <v>563</v>
      </c>
      <c r="Q68" s="5" t="s">
        <v>92</v>
      </c>
      <c r="R68" s="5" t="s">
        <v>103</v>
      </c>
      <c r="S68" s="5">
        <v>40.0</v>
      </c>
      <c r="T68" s="5">
        <v>450.0</v>
      </c>
      <c r="U68" s="5">
        <v>80.0</v>
      </c>
      <c r="V68" s="5"/>
      <c r="W68" s="5" t="s">
        <v>70</v>
      </c>
      <c r="X68" s="5"/>
      <c r="Y68" s="6" t="s">
        <v>564</v>
      </c>
      <c r="Z68" s="5" t="s">
        <v>114</v>
      </c>
      <c r="AA68" s="5" t="s">
        <v>72</v>
      </c>
      <c r="AB68" s="5"/>
      <c r="AC68" s="5" t="s">
        <v>51</v>
      </c>
      <c r="AD68" s="5" t="s">
        <v>51</v>
      </c>
      <c r="AE68" s="5" t="s">
        <v>565</v>
      </c>
      <c r="AF68" s="6" t="s">
        <v>566</v>
      </c>
      <c r="AG68" s="6" t="str">
        <f t="shared" si="1"/>
        <v>24.325167,121.7641546</v>
      </c>
      <c r="AH68" s="6"/>
      <c r="AI68" s="5" t="s">
        <v>386</v>
      </c>
      <c r="AJ68" s="5" t="s">
        <v>526</v>
      </c>
    </row>
    <row r="69" ht="79.5" customHeight="1">
      <c r="A69" s="5" t="s">
        <v>36</v>
      </c>
      <c r="B69" s="5" t="s">
        <v>567</v>
      </c>
      <c r="C69" s="5" t="s">
        <v>38</v>
      </c>
      <c r="D69" s="5" t="s">
        <v>39</v>
      </c>
      <c r="E69" s="5" t="s">
        <v>40</v>
      </c>
      <c r="F69" s="5" t="s">
        <v>329</v>
      </c>
      <c r="G69" s="5" t="s">
        <v>88</v>
      </c>
      <c r="H69" s="5" t="s">
        <v>568</v>
      </c>
      <c r="I69" s="5" t="s">
        <v>569</v>
      </c>
      <c r="J69" s="5" t="s">
        <v>45</v>
      </c>
      <c r="K69" s="5" t="s">
        <v>46</v>
      </c>
      <c r="L69" s="5">
        <v>121.7640955</v>
      </c>
      <c r="M69" s="5">
        <v>24.3250948</v>
      </c>
      <c r="N69" s="5">
        <v>121.7588104</v>
      </c>
      <c r="O69" s="5">
        <v>24.3216104</v>
      </c>
      <c r="P69" s="6" t="s">
        <v>570</v>
      </c>
      <c r="Q69" s="5" t="s">
        <v>92</v>
      </c>
      <c r="R69" s="5" t="s">
        <v>103</v>
      </c>
      <c r="S69" s="5">
        <v>50.0</v>
      </c>
      <c r="T69" s="5">
        <v>750.0</v>
      </c>
      <c r="U69" s="5">
        <v>70.0</v>
      </c>
      <c r="V69" s="5"/>
      <c r="W69" s="5" t="s">
        <v>137</v>
      </c>
      <c r="X69" s="5"/>
      <c r="Y69" s="6" t="s">
        <v>571</v>
      </c>
      <c r="Z69" s="5" t="s">
        <v>572</v>
      </c>
      <c r="AA69" s="5" t="s">
        <v>72</v>
      </c>
      <c r="AB69" s="5"/>
      <c r="AC69" s="5" t="s">
        <v>51</v>
      </c>
      <c r="AD69" s="5" t="s">
        <v>51</v>
      </c>
      <c r="AE69" s="5" t="s">
        <v>518</v>
      </c>
      <c r="AF69" s="6" t="s">
        <v>573</v>
      </c>
      <c r="AG69" s="6" t="str">
        <f t="shared" si="1"/>
        <v>24.3250948,121.7640955</v>
      </c>
      <c r="AH69" s="6"/>
      <c r="AI69" s="5" t="s">
        <v>386</v>
      </c>
      <c r="AJ69" s="5" t="s">
        <v>574</v>
      </c>
    </row>
    <row r="70" ht="79.5" customHeight="1">
      <c r="A70" s="5" t="s">
        <v>36</v>
      </c>
      <c r="B70" s="5" t="s">
        <v>575</v>
      </c>
      <c r="C70" s="5" t="s">
        <v>38</v>
      </c>
      <c r="D70" s="5" t="s">
        <v>39</v>
      </c>
      <c r="E70" s="5" t="s">
        <v>576</v>
      </c>
      <c r="F70" s="5" t="s">
        <v>577</v>
      </c>
      <c r="G70" s="5" t="s">
        <v>88</v>
      </c>
      <c r="H70" s="5" t="s">
        <v>578</v>
      </c>
      <c r="I70" s="5" t="s">
        <v>579</v>
      </c>
      <c r="J70" s="5" t="s">
        <v>45</v>
      </c>
      <c r="K70" s="5" t="s">
        <v>46</v>
      </c>
      <c r="L70" s="5">
        <v>121.7369826</v>
      </c>
      <c r="M70" s="5">
        <v>24.2558677</v>
      </c>
      <c r="N70" s="5">
        <v>121.7325287</v>
      </c>
      <c r="O70" s="5">
        <v>24.2510452</v>
      </c>
      <c r="P70" s="6" t="s">
        <v>580</v>
      </c>
      <c r="Q70" s="5" t="s">
        <v>92</v>
      </c>
      <c r="R70" s="5" t="s">
        <v>103</v>
      </c>
      <c r="S70" s="5">
        <v>50.0</v>
      </c>
      <c r="T70" s="5">
        <v>750.0</v>
      </c>
      <c r="U70" s="5">
        <v>70.0</v>
      </c>
      <c r="V70" s="5" t="s">
        <v>49</v>
      </c>
      <c r="W70" s="5" t="s">
        <v>137</v>
      </c>
      <c r="X70" s="5" t="s">
        <v>138</v>
      </c>
      <c r="Y70" s="6" t="s">
        <v>581</v>
      </c>
      <c r="Z70" s="5" t="s">
        <v>94</v>
      </c>
      <c r="AA70" s="5" t="s">
        <v>72</v>
      </c>
      <c r="AB70" s="5"/>
      <c r="AC70" s="5" t="s">
        <v>51</v>
      </c>
      <c r="AD70" s="5" t="s">
        <v>51</v>
      </c>
      <c r="AE70" s="5" t="s">
        <v>582</v>
      </c>
      <c r="AF70" s="6" t="s">
        <v>583</v>
      </c>
      <c r="AG70" s="6" t="str">
        <f t="shared" si="1"/>
        <v>24.2558677,121.7369826</v>
      </c>
      <c r="AH70" s="6"/>
      <c r="AI70" s="5" t="s">
        <v>584</v>
      </c>
      <c r="AJ70" s="5" t="s">
        <v>585</v>
      </c>
    </row>
    <row r="71" ht="79.5" customHeight="1">
      <c r="A71" s="5" t="s">
        <v>36</v>
      </c>
      <c r="B71" s="5" t="s">
        <v>586</v>
      </c>
      <c r="C71" s="5" t="s">
        <v>38</v>
      </c>
      <c r="D71" s="5" t="s">
        <v>39</v>
      </c>
      <c r="E71" s="5" t="s">
        <v>576</v>
      </c>
      <c r="F71" s="5" t="s">
        <v>577</v>
      </c>
      <c r="G71" s="5" t="s">
        <v>88</v>
      </c>
      <c r="H71" s="5" t="s">
        <v>587</v>
      </c>
      <c r="I71" s="5" t="s">
        <v>588</v>
      </c>
      <c r="J71" s="5" t="s">
        <v>59</v>
      </c>
      <c r="K71" s="5" t="s">
        <v>101</v>
      </c>
      <c r="L71" s="5">
        <v>121.73705</v>
      </c>
      <c r="M71" s="5">
        <v>24.255951</v>
      </c>
      <c r="N71" s="5">
        <v>121.736306</v>
      </c>
      <c r="O71" s="5">
        <v>24.255306</v>
      </c>
      <c r="P71" s="6" t="s">
        <v>589</v>
      </c>
      <c r="Q71" s="5" t="s">
        <v>48</v>
      </c>
      <c r="R71" s="5" t="s">
        <v>69</v>
      </c>
      <c r="S71" s="5">
        <v>50.0</v>
      </c>
      <c r="T71" s="5">
        <v>100.0</v>
      </c>
      <c r="U71" s="5">
        <v>90.0</v>
      </c>
      <c r="V71" s="5"/>
      <c r="W71" s="5" t="s">
        <v>70</v>
      </c>
      <c r="X71" s="5"/>
      <c r="Y71" s="6" t="s">
        <v>590</v>
      </c>
      <c r="Z71" s="5" t="s">
        <v>591</v>
      </c>
      <c r="AA71" s="5" t="s">
        <v>72</v>
      </c>
      <c r="AB71" s="5"/>
      <c r="AC71" s="5" t="s">
        <v>51</v>
      </c>
      <c r="AD71" s="5" t="s">
        <v>51</v>
      </c>
      <c r="AE71" s="5" t="s">
        <v>592</v>
      </c>
      <c r="AF71" s="6" t="s">
        <v>593</v>
      </c>
      <c r="AG71" s="6" t="str">
        <f t="shared" si="1"/>
        <v>24.255951,121.73705</v>
      </c>
      <c r="AH71" s="6"/>
      <c r="AI71" s="5" t="s">
        <v>584</v>
      </c>
      <c r="AJ71" s="5" t="s">
        <v>594</v>
      </c>
    </row>
    <row r="72" ht="79.5" customHeight="1">
      <c r="A72" s="5" t="s">
        <v>36</v>
      </c>
      <c r="B72" s="5" t="s">
        <v>595</v>
      </c>
      <c r="C72" s="5" t="s">
        <v>38</v>
      </c>
      <c r="D72" s="5" t="s">
        <v>39</v>
      </c>
      <c r="E72" s="5" t="s">
        <v>576</v>
      </c>
      <c r="F72" s="5" t="s">
        <v>577</v>
      </c>
      <c r="G72" s="5" t="s">
        <v>88</v>
      </c>
      <c r="H72" s="5" t="s">
        <v>596</v>
      </c>
      <c r="I72" s="5" t="s">
        <v>597</v>
      </c>
      <c r="J72" s="5" t="s">
        <v>45</v>
      </c>
      <c r="K72" s="5" t="s">
        <v>46</v>
      </c>
      <c r="L72" s="5">
        <v>121.7215009</v>
      </c>
      <c r="M72" s="5">
        <v>24.2448553</v>
      </c>
      <c r="N72" s="5">
        <v>121.7197653</v>
      </c>
      <c r="O72" s="5">
        <v>24.2456196</v>
      </c>
      <c r="P72" s="6" t="s">
        <v>589</v>
      </c>
      <c r="Q72" s="5" t="s">
        <v>92</v>
      </c>
      <c r="R72" s="5" t="s">
        <v>103</v>
      </c>
      <c r="S72" s="5">
        <v>50.0</v>
      </c>
      <c r="T72" s="5">
        <v>200.0</v>
      </c>
      <c r="U72" s="5">
        <v>80.0</v>
      </c>
      <c r="V72" s="5"/>
      <c r="W72" s="5" t="s">
        <v>50</v>
      </c>
      <c r="X72" s="5"/>
      <c r="Y72" s="6" t="s">
        <v>598</v>
      </c>
      <c r="Z72" s="5" t="s">
        <v>599</v>
      </c>
      <c r="AA72" s="5"/>
      <c r="AB72" s="5"/>
      <c r="AC72" s="5" t="s">
        <v>51</v>
      </c>
      <c r="AD72" s="5" t="s">
        <v>51</v>
      </c>
      <c r="AE72" s="5" t="s">
        <v>592</v>
      </c>
      <c r="AF72" s="6" t="s">
        <v>600</v>
      </c>
      <c r="AG72" s="6" t="str">
        <f t="shared" si="1"/>
        <v>24.2448553,121.7215009</v>
      </c>
      <c r="AH72" s="6"/>
      <c r="AI72" s="5" t="s">
        <v>601</v>
      </c>
      <c r="AJ72" s="5" t="s">
        <v>602</v>
      </c>
    </row>
    <row r="73" ht="79.5" customHeight="1">
      <c r="A73" s="5" t="s">
        <v>36</v>
      </c>
      <c r="B73" s="5" t="s">
        <v>603</v>
      </c>
      <c r="C73" s="5" t="s">
        <v>38</v>
      </c>
      <c r="D73" s="5" t="s">
        <v>39</v>
      </c>
      <c r="E73" s="5" t="s">
        <v>576</v>
      </c>
      <c r="F73" s="5" t="s">
        <v>577</v>
      </c>
      <c r="G73" s="5" t="s">
        <v>88</v>
      </c>
      <c r="H73" s="5" t="s">
        <v>604</v>
      </c>
      <c r="I73" s="5" t="s">
        <v>605</v>
      </c>
      <c r="J73" s="5" t="s">
        <v>45</v>
      </c>
      <c r="K73" s="5" t="s">
        <v>46</v>
      </c>
      <c r="L73" s="5">
        <v>121.7118856</v>
      </c>
      <c r="M73" s="5">
        <v>24.2427991</v>
      </c>
      <c r="N73" s="5">
        <v>121.7090029</v>
      </c>
      <c r="O73" s="5">
        <v>24.2366129</v>
      </c>
      <c r="P73" s="6" t="s">
        <v>606</v>
      </c>
      <c r="Q73" s="5" t="s">
        <v>92</v>
      </c>
      <c r="R73" s="5" t="s">
        <v>103</v>
      </c>
      <c r="S73" s="5">
        <v>40.0</v>
      </c>
      <c r="T73" s="5">
        <v>750.0</v>
      </c>
      <c r="U73" s="5">
        <v>25.0</v>
      </c>
      <c r="V73" s="5"/>
      <c r="W73" s="5" t="s">
        <v>106</v>
      </c>
      <c r="X73" s="5"/>
      <c r="Y73" s="6" t="s">
        <v>607</v>
      </c>
      <c r="Z73" s="5" t="s">
        <v>393</v>
      </c>
      <c r="AA73" s="5" t="s">
        <v>72</v>
      </c>
      <c r="AB73" s="5"/>
      <c r="AC73" s="5" t="s">
        <v>51</v>
      </c>
      <c r="AD73" s="5" t="s">
        <v>51</v>
      </c>
      <c r="AE73" s="5" t="s">
        <v>592</v>
      </c>
      <c r="AF73" s="6" t="s">
        <v>608</v>
      </c>
      <c r="AG73" s="6" t="str">
        <f t="shared" si="1"/>
        <v>24.2427991,121.7118856</v>
      </c>
      <c r="AH73" s="6"/>
      <c r="AI73" s="5" t="s">
        <v>601</v>
      </c>
      <c r="AJ73" s="5" t="s">
        <v>609</v>
      </c>
    </row>
    <row r="74" ht="79.5" customHeight="1">
      <c r="A74" s="5" t="s">
        <v>36</v>
      </c>
      <c r="B74" s="5" t="s">
        <v>610</v>
      </c>
      <c r="C74" s="5" t="s">
        <v>38</v>
      </c>
      <c r="D74" s="5" t="s">
        <v>39</v>
      </c>
      <c r="E74" s="5" t="s">
        <v>576</v>
      </c>
      <c r="F74" s="5" t="s">
        <v>577</v>
      </c>
      <c r="G74" s="5" t="s">
        <v>88</v>
      </c>
      <c r="H74" s="5" t="s">
        <v>605</v>
      </c>
      <c r="I74" s="5" t="s">
        <v>611</v>
      </c>
      <c r="J74" s="5" t="s">
        <v>45</v>
      </c>
      <c r="K74" s="5" t="s">
        <v>46</v>
      </c>
      <c r="L74" s="5">
        <v>121.7090029</v>
      </c>
      <c r="M74" s="5">
        <v>24.2366129</v>
      </c>
      <c r="N74" s="5">
        <v>121.7077175</v>
      </c>
      <c r="O74" s="5">
        <v>24.2347672</v>
      </c>
      <c r="P74" s="6" t="s">
        <v>612</v>
      </c>
      <c r="Q74" s="5" t="s">
        <v>92</v>
      </c>
      <c r="R74" s="5" t="s">
        <v>103</v>
      </c>
      <c r="S74" s="5">
        <v>15.0</v>
      </c>
      <c r="T74" s="5">
        <v>200.0</v>
      </c>
      <c r="U74" s="5">
        <v>15.0</v>
      </c>
      <c r="V74" s="5"/>
      <c r="W74" s="5" t="s">
        <v>106</v>
      </c>
      <c r="X74" s="5"/>
      <c r="Y74" s="6" t="s">
        <v>613</v>
      </c>
      <c r="Z74" s="5" t="s">
        <v>614</v>
      </c>
      <c r="AA74" s="5" t="s">
        <v>72</v>
      </c>
      <c r="AB74" s="5"/>
      <c r="AC74" s="5" t="s">
        <v>51</v>
      </c>
      <c r="AD74" s="5" t="s">
        <v>51</v>
      </c>
      <c r="AE74" s="5" t="s">
        <v>592</v>
      </c>
      <c r="AF74" s="6" t="s">
        <v>615</v>
      </c>
      <c r="AG74" s="6" t="str">
        <f t="shared" si="1"/>
        <v>24.2366129,121.7090029</v>
      </c>
      <c r="AH74" s="6"/>
      <c r="AI74" s="5" t="s">
        <v>601</v>
      </c>
      <c r="AJ74" s="5" t="s">
        <v>616</v>
      </c>
    </row>
    <row r="75" ht="79.5" customHeight="1">
      <c r="A75" s="5" t="s">
        <v>36</v>
      </c>
      <c r="B75" s="5" t="s">
        <v>617</v>
      </c>
      <c r="C75" s="5" t="s">
        <v>38</v>
      </c>
      <c r="D75" s="5" t="s">
        <v>39</v>
      </c>
      <c r="E75" s="5" t="s">
        <v>576</v>
      </c>
      <c r="F75" s="5" t="s">
        <v>577</v>
      </c>
      <c r="G75" s="5" t="s">
        <v>88</v>
      </c>
      <c r="H75" s="5" t="s">
        <v>611</v>
      </c>
      <c r="I75" s="5" t="s">
        <v>618</v>
      </c>
      <c r="J75" s="5" t="s">
        <v>45</v>
      </c>
      <c r="K75" s="5" t="s">
        <v>46</v>
      </c>
      <c r="L75" s="5">
        <v>121.7084146</v>
      </c>
      <c r="M75" s="5">
        <v>24.2354</v>
      </c>
      <c r="N75" s="5">
        <v>121.7069745</v>
      </c>
      <c r="O75" s="5">
        <v>24.2297142</v>
      </c>
      <c r="P75" s="6" t="s">
        <v>619</v>
      </c>
      <c r="Q75" s="5" t="s">
        <v>92</v>
      </c>
      <c r="R75" s="5" t="s">
        <v>103</v>
      </c>
      <c r="S75" s="5">
        <v>50.0</v>
      </c>
      <c r="T75" s="5">
        <v>650.0</v>
      </c>
      <c r="U75" s="5">
        <v>90.0</v>
      </c>
      <c r="V75" s="5"/>
      <c r="W75" s="5" t="s">
        <v>106</v>
      </c>
      <c r="X75" s="5"/>
      <c r="Y75" s="6" t="s">
        <v>620</v>
      </c>
      <c r="Z75" s="5" t="s">
        <v>621</v>
      </c>
      <c r="AA75" s="5" t="s">
        <v>72</v>
      </c>
      <c r="AB75" s="5"/>
      <c r="AC75" s="5" t="s">
        <v>51</v>
      </c>
      <c r="AD75" s="5" t="s">
        <v>51</v>
      </c>
      <c r="AE75" s="5" t="s">
        <v>592</v>
      </c>
      <c r="AF75" s="6" t="s">
        <v>622</v>
      </c>
      <c r="AG75" s="6" t="str">
        <f t="shared" si="1"/>
        <v>24.2354,121.7084146</v>
      </c>
      <c r="AH75" s="6"/>
      <c r="AI75" s="5" t="s">
        <v>601</v>
      </c>
      <c r="AJ75" s="5" t="s">
        <v>623</v>
      </c>
    </row>
    <row r="76" ht="79.5" customHeight="1">
      <c r="A76" s="5" t="s">
        <v>36</v>
      </c>
      <c r="B76" s="5" t="s">
        <v>624</v>
      </c>
      <c r="C76" s="5" t="s">
        <v>38</v>
      </c>
      <c r="D76" s="5" t="s">
        <v>39</v>
      </c>
      <c r="E76" s="5" t="s">
        <v>576</v>
      </c>
      <c r="F76" s="5" t="s">
        <v>577</v>
      </c>
      <c r="G76" s="5" t="s">
        <v>88</v>
      </c>
      <c r="H76" s="5" t="s">
        <v>618</v>
      </c>
      <c r="I76" s="5" t="s">
        <v>625</v>
      </c>
      <c r="J76" s="5" t="s">
        <v>45</v>
      </c>
      <c r="K76" s="5" t="s">
        <v>46</v>
      </c>
      <c r="L76" s="5">
        <v>121.7069745</v>
      </c>
      <c r="M76" s="5">
        <v>24.2297142</v>
      </c>
      <c r="N76" s="5">
        <v>121.7065744</v>
      </c>
      <c r="O76" s="5">
        <v>24.228958</v>
      </c>
      <c r="P76" s="6" t="s">
        <v>626</v>
      </c>
      <c r="Q76" s="5" t="s">
        <v>92</v>
      </c>
      <c r="R76" s="5" t="s">
        <v>103</v>
      </c>
      <c r="S76" s="5">
        <v>50.0</v>
      </c>
      <c r="T76" s="5">
        <v>150.0</v>
      </c>
      <c r="U76" s="5">
        <v>80.0</v>
      </c>
      <c r="V76" s="5"/>
      <c r="W76" s="5" t="s">
        <v>106</v>
      </c>
      <c r="X76" s="5"/>
      <c r="Y76" s="6" t="s">
        <v>627</v>
      </c>
      <c r="Z76" s="5" t="s">
        <v>628</v>
      </c>
      <c r="AA76" s="5" t="s">
        <v>72</v>
      </c>
      <c r="AB76" s="5"/>
      <c r="AC76" s="5" t="s">
        <v>51</v>
      </c>
      <c r="AD76" s="5" t="s">
        <v>51</v>
      </c>
      <c r="AE76" s="5" t="s">
        <v>592</v>
      </c>
      <c r="AF76" s="6" t="s">
        <v>629</v>
      </c>
      <c r="AG76" s="6" t="str">
        <f t="shared" si="1"/>
        <v>24.2297142,121.7069745</v>
      </c>
      <c r="AH76" s="6"/>
      <c r="AI76" s="5" t="s">
        <v>601</v>
      </c>
      <c r="AJ76" s="5" t="s">
        <v>630</v>
      </c>
    </row>
    <row r="77" ht="79.5" customHeight="1">
      <c r="A77" s="5" t="s">
        <v>36</v>
      </c>
      <c r="B77" s="5" t="s">
        <v>631</v>
      </c>
      <c r="C77" s="5" t="s">
        <v>38</v>
      </c>
      <c r="D77" s="5" t="s">
        <v>39</v>
      </c>
      <c r="E77" s="5" t="s">
        <v>576</v>
      </c>
      <c r="F77" s="5" t="s">
        <v>577</v>
      </c>
      <c r="G77" s="5" t="s">
        <v>88</v>
      </c>
      <c r="H77" s="5" t="s">
        <v>632</v>
      </c>
      <c r="I77" s="5" t="s">
        <v>633</v>
      </c>
      <c r="J77" s="5" t="s">
        <v>59</v>
      </c>
      <c r="K77" s="5" t="s">
        <v>101</v>
      </c>
      <c r="L77" s="5">
        <v>121.7069963</v>
      </c>
      <c r="M77" s="5">
        <v>24.2294476</v>
      </c>
      <c r="N77" s="5">
        <v>121.7067758</v>
      </c>
      <c r="O77" s="5">
        <v>24.2291561</v>
      </c>
      <c r="P77" s="6" t="s">
        <v>634</v>
      </c>
      <c r="Q77" s="5" t="s">
        <v>92</v>
      </c>
      <c r="R77" s="5" t="s">
        <v>103</v>
      </c>
      <c r="S77" s="5">
        <v>40.0</v>
      </c>
      <c r="T77" s="5">
        <v>40.0</v>
      </c>
      <c r="U77" s="5">
        <v>90.0</v>
      </c>
      <c r="V77" s="5" t="s">
        <v>49</v>
      </c>
      <c r="W77" s="5" t="s">
        <v>106</v>
      </c>
      <c r="X77" s="5"/>
      <c r="Y77" s="6" t="s">
        <v>51</v>
      </c>
      <c r="Z77" s="5" t="s">
        <v>635</v>
      </c>
      <c r="AA77" s="5" t="s">
        <v>72</v>
      </c>
      <c r="AB77" s="5"/>
      <c r="AC77" s="5" t="s">
        <v>51</v>
      </c>
      <c r="AD77" s="5" t="s">
        <v>51</v>
      </c>
      <c r="AE77" s="5" t="s">
        <v>592</v>
      </c>
      <c r="AF77" s="6" t="s">
        <v>636</v>
      </c>
      <c r="AG77" s="6" t="str">
        <f t="shared" si="1"/>
        <v>24.2294476,121.7069963</v>
      </c>
      <c r="AH77" s="6"/>
      <c r="AI77" s="5" t="s">
        <v>601</v>
      </c>
      <c r="AJ77" s="5" t="s">
        <v>637</v>
      </c>
    </row>
    <row r="78" ht="79.5" customHeight="1">
      <c r="A78" s="5" t="s">
        <v>36</v>
      </c>
      <c r="B78" s="5" t="s">
        <v>638</v>
      </c>
      <c r="C78" s="5" t="s">
        <v>38</v>
      </c>
      <c r="D78" s="5" t="s">
        <v>39</v>
      </c>
      <c r="E78" s="5" t="s">
        <v>576</v>
      </c>
      <c r="F78" s="5" t="s">
        <v>577</v>
      </c>
      <c r="G78" s="5" t="s">
        <v>88</v>
      </c>
      <c r="H78" s="5" t="s">
        <v>625</v>
      </c>
      <c r="I78" s="5" t="s">
        <v>639</v>
      </c>
      <c r="J78" s="5" t="s">
        <v>45</v>
      </c>
      <c r="K78" s="5" t="s">
        <v>46</v>
      </c>
      <c r="L78" s="5">
        <v>121.7065744</v>
      </c>
      <c r="M78" s="5">
        <v>24.228958</v>
      </c>
      <c r="N78" s="5">
        <v>121.6960663</v>
      </c>
      <c r="O78" s="5">
        <v>24.2215831</v>
      </c>
      <c r="P78" s="6" t="s">
        <v>640</v>
      </c>
      <c r="Q78" s="5" t="s">
        <v>48</v>
      </c>
      <c r="R78" s="5" t="s">
        <v>103</v>
      </c>
      <c r="S78" s="5">
        <v>50.0</v>
      </c>
      <c r="T78" s="5">
        <v>150.0</v>
      </c>
      <c r="U78" s="5">
        <v>90.0</v>
      </c>
      <c r="V78" s="5"/>
      <c r="W78" s="5" t="s">
        <v>106</v>
      </c>
      <c r="X78" s="5"/>
      <c r="Y78" s="6" t="s">
        <v>641</v>
      </c>
      <c r="Z78" s="5" t="s">
        <v>114</v>
      </c>
      <c r="AA78" s="5" t="s">
        <v>72</v>
      </c>
      <c r="AB78" s="5"/>
      <c r="AC78" s="5" t="s">
        <v>51</v>
      </c>
      <c r="AD78" s="5" t="s">
        <v>51</v>
      </c>
      <c r="AE78" s="5" t="s">
        <v>592</v>
      </c>
      <c r="AF78" s="6" t="s">
        <v>642</v>
      </c>
      <c r="AG78" s="6" t="str">
        <f t="shared" si="1"/>
        <v>24.228958,121.7065744</v>
      </c>
      <c r="AH78" s="6"/>
      <c r="AI78" s="5" t="s">
        <v>601</v>
      </c>
      <c r="AJ78" s="5" t="s">
        <v>643</v>
      </c>
    </row>
    <row r="79" ht="79.5" customHeight="1">
      <c r="A79" s="5" t="s">
        <v>36</v>
      </c>
      <c r="B79" s="5" t="s">
        <v>644</v>
      </c>
      <c r="C79" s="5" t="s">
        <v>38</v>
      </c>
      <c r="D79" s="5" t="s">
        <v>39</v>
      </c>
      <c r="E79" s="5" t="s">
        <v>576</v>
      </c>
      <c r="F79" s="5" t="s">
        <v>577</v>
      </c>
      <c r="G79" s="5" t="s">
        <v>88</v>
      </c>
      <c r="H79" s="5" t="s">
        <v>645</v>
      </c>
      <c r="I79" s="5" t="s">
        <v>646</v>
      </c>
      <c r="J79" s="5" t="s">
        <v>45</v>
      </c>
      <c r="K79" s="5" t="s">
        <v>46</v>
      </c>
      <c r="L79" s="5">
        <v>121.691538</v>
      </c>
      <c r="M79" s="5">
        <v>24.217733</v>
      </c>
      <c r="N79" s="5">
        <v>121.690592</v>
      </c>
      <c r="O79" s="5">
        <v>24.219022</v>
      </c>
      <c r="P79" s="6" t="s">
        <v>589</v>
      </c>
      <c r="Q79" s="5" t="s">
        <v>48</v>
      </c>
      <c r="R79" s="5" t="s">
        <v>103</v>
      </c>
      <c r="S79" s="5">
        <v>70.0</v>
      </c>
      <c r="T79" s="5">
        <v>200.0</v>
      </c>
      <c r="U79" s="5">
        <v>60.0</v>
      </c>
      <c r="V79" s="5"/>
      <c r="W79" s="5" t="s">
        <v>106</v>
      </c>
      <c r="X79" s="5"/>
      <c r="Y79" s="6" t="s">
        <v>647</v>
      </c>
      <c r="Z79" s="5" t="s">
        <v>289</v>
      </c>
      <c r="AA79" s="5" t="s">
        <v>72</v>
      </c>
      <c r="AB79" s="5"/>
      <c r="AC79" s="5" t="s">
        <v>51</v>
      </c>
      <c r="AD79" s="5" t="s">
        <v>51</v>
      </c>
      <c r="AE79" s="5" t="s">
        <v>592</v>
      </c>
      <c r="AF79" s="6" t="s">
        <v>648</v>
      </c>
      <c r="AG79" s="6" t="str">
        <f t="shared" si="1"/>
        <v>24.217733,121.691538</v>
      </c>
      <c r="AH79" s="6"/>
      <c r="AI79" s="5" t="s">
        <v>601</v>
      </c>
      <c r="AJ79" s="5" t="s">
        <v>649</v>
      </c>
    </row>
    <row r="80" ht="79.5" customHeight="1">
      <c r="A80" s="5" t="s">
        <v>36</v>
      </c>
      <c r="B80" s="5" t="s">
        <v>650</v>
      </c>
      <c r="C80" s="5" t="s">
        <v>38</v>
      </c>
      <c r="D80" s="5" t="s">
        <v>39</v>
      </c>
      <c r="E80" s="5" t="s">
        <v>40</v>
      </c>
      <c r="F80" s="5" t="s">
        <v>41</v>
      </c>
      <c r="G80" s="5" t="s">
        <v>651</v>
      </c>
      <c r="H80" s="5" t="s">
        <v>652</v>
      </c>
      <c r="I80" s="5" t="s">
        <v>653</v>
      </c>
      <c r="J80" s="5" t="s">
        <v>45</v>
      </c>
      <c r="K80" s="5" t="s">
        <v>46</v>
      </c>
      <c r="L80" s="5">
        <v>121.823517</v>
      </c>
      <c r="M80" s="5">
        <v>24.614094</v>
      </c>
      <c r="N80" s="5">
        <v>121.824839</v>
      </c>
      <c r="O80" s="5">
        <v>24.612901</v>
      </c>
      <c r="P80" s="6" t="s">
        <v>654</v>
      </c>
      <c r="Q80" s="5" t="s">
        <v>48</v>
      </c>
      <c r="R80" s="5" t="s">
        <v>103</v>
      </c>
      <c r="S80" s="5">
        <v>20.0</v>
      </c>
      <c r="T80" s="5">
        <v>300.0</v>
      </c>
      <c r="U80" s="5">
        <v>35.0</v>
      </c>
      <c r="V80" s="5"/>
      <c r="W80" s="5" t="s">
        <v>50</v>
      </c>
      <c r="X80" s="5"/>
      <c r="Y80" s="6" t="s">
        <v>51</v>
      </c>
      <c r="Z80" s="5" t="s">
        <v>334</v>
      </c>
      <c r="AA80" s="5"/>
      <c r="AB80" s="5"/>
      <c r="AC80" s="5" t="s">
        <v>51</v>
      </c>
      <c r="AD80" s="5" t="s">
        <v>51</v>
      </c>
      <c r="AE80" s="5" t="s">
        <v>62</v>
      </c>
      <c r="AF80" s="6" t="s">
        <v>209</v>
      </c>
      <c r="AG80" s="6" t="str">
        <f t="shared" si="1"/>
        <v>24.614094,121.823517</v>
      </c>
      <c r="AH80" s="6"/>
      <c r="AI80" s="5" t="s">
        <v>85</v>
      </c>
      <c r="AJ80" s="5" t="s">
        <v>655</v>
      </c>
    </row>
    <row r="81" ht="79.5" customHeight="1">
      <c r="A81" s="5" t="s">
        <v>36</v>
      </c>
      <c r="B81" s="5" t="s">
        <v>656</v>
      </c>
      <c r="C81" s="5" t="s">
        <v>38</v>
      </c>
      <c r="D81" s="5" t="s">
        <v>39</v>
      </c>
      <c r="E81" s="5" t="s">
        <v>40</v>
      </c>
      <c r="F81" s="5" t="s">
        <v>41</v>
      </c>
      <c r="G81" s="5" t="s">
        <v>651</v>
      </c>
      <c r="H81" s="5" t="s">
        <v>657</v>
      </c>
      <c r="I81" s="5" t="s">
        <v>658</v>
      </c>
      <c r="J81" s="5" t="s">
        <v>45</v>
      </c>
      <c r="K81" s="5" t="s">
        <v>46</v>
      </c>
      <c r="L81" s="5">
        <v>121.827908</v>
      </c>
      <c r="M81" s="5">
        <v>24.606954</v>
      </c>
      <c r="N81" s="5">
        <v>121.829411</v>
      </c>
      <c r="O81" s="5">
        <v>24.605477</v>
      </c>
      <c r="P81" s="6" t="s">
        <v>659</v>
      </c>
      <c r="Q81" s="5" t="s">
        <v>48</v>
      </c>
      <c r="R81" s="5" t="s">
        <v>103</v>
      </c>
      <c r="S81" s="5">
        <v>10.0</v>
      </c>
      <c r="T81" s="5">
        <v>500.0</v>
      </c>
      <c r="U81" s="5">
        <v>20.0</v>
      </c>
      <c r="V81" s="5"/>
      <c r="W81" s="5" t="s">
        <v>50</v>
      </c>
      <c r="X81" s="5"/>
      <c r="Y81" s="6" t="s">
        <v>51</v>
      </c>
      <c r="Z81" s="5" t="s">
        <v>393</v>
      </c>
      <c r="AA81" s="5" t="s">
        <v>72</v>
      </c>
      <c r="AB81" s="5"/>
      <c r="AC81" s="5" t="s">
        <v>51</v>
      </c>
      <c r="AD81" s="5" t="s">
        <v>51</v>
      </c>
      <c r="AE81" s="5" t="s">
        <v>660</v>
      </c>
      <c r="AF81" s="6" t="s">
        <v>661</v>
      </c>
      <c r="AG81" s="6" t="str">
        <f t="shared" si="1"/>
        <v>24.606954,121.827908</v>
      </c>
      <c r="AH81" s="6"/>
      <c r="AI81" s="5" t="s">
        <v>85</v>
      </c>
      <c r="AJ81" s="5" t="s">
        <v>662</v>
      </c>
    </row>
    <row r="82" ht="79.5" customHeight="1">
      <c r="A82" s="5" t="s">
        <v>36</v>
      </c>
      <c r="B82" s="5" t="s">
        <v>663</v>
      </c>
      <c r="C82" s="5" t="s">
        <v>38</v>
      </c>
      <c r="D82" s="5" t="s">
        <v>39</v>
      </c>
      <c r="E82" s="5" t="s">
        <v>40</v>
      </c>
      <c r="F82" s="5" t="s">
        <v>41</v>
      </c>
      <c r="G82" s="5" t="s">
        <v>651</v>
      </c>
      <c r="H82" s="5" t="s">
        <v>664</v>
      </c>
      <c r="I82" s="5" t="s">
        <v>665</v>
      </c>
      <c r="J82" s="5" t="s">
        <v>45</v>
      </c>
      <c r="K82" s="5" t="s">
        <v>46</v>
      </c>
      <c r="L82" s="5">
        <v>121.834251</v>
      </c>
      <c r="M82" s="5">
        <v>24.603059</v>
      </c>
      <c r="N82" s="5">
        <v>121.834502</v>
      </c>
      <c r="O82" s="5">
        <v>24.601102</v>
      </c>
      <c r="P82" s="6" t="s">
        <v>666</v>
      </c>
      <c r="Q82" s="5" t="s">
        <v>48</v>
      </c>
      <c r="R82" s="5" t="s">
        <v>103</v>
      </c>
      <c r="S82" s="5">
        <v>20.0</v>
      </c>
      <c r="T82" s="5">
        <v>210.0</v>
      </c>
      <c r="U82" s="5">
        <v>30.0</v>
      </c>
      <c r="V82" s="5"/>
      <c r="W82" s="5" t="s">
        <v>50</v>
      </c>
      <c r="X82" s="5"/>
      <c r="Y82" s="6" t="s">
        <v>667</v>
      </c>
      <c r="Z82" s="5" t="s">
        <v>334</v>
      </c>
      <c r="AA82" s="5"/>
      <c r="AB82" s="5"/>
      <c r="AC82" s="5" t="s">
        <v>51</v>
      </c>
      <c r="AD82" s="5" t="s">
        <v>51</v>
      </c>
      <c r="AE82" s="5" t="s">
        <v>660</v>
      </c>
      <c r="AF82" s="6" t="s">
        <v>668</v>
      </c>
      <c r="AG82" s="6" t="str">
        <f t="shared" si="1"/>
        <v>24.603059,121.834251</v>
      </c>
      <c r="AH82" s="6"/>
      <c r="AI82" s="5" t="s">
        <v>85</v>
      </c>
      <c r="AJ82" s="5" t="s">
        <v>669</v>
      </c>
    </row>
    <row r="83" ht="79.5" customHeight="1">
      <c r="A83" s="5" t="s">
        <v>36</v>
      </c>
      <c r="B83" s="5" t="s">
        <v>670</v>
      </c>
      <c r="C83" s="5" t="s">
        <v>38</v>
      </c>
      <c r="D83" s="5" t="s">
        <v>39</v>
      </c>
      <c r="E83" s="5" t="s">
        <v>40</v>
      </c>
      <c r="F83" s="5" t="s">
        <v>329</v>
      </c>
      <c r="G83" s="5" t="s">
        <v>651</v>
      </c>
      <c r="H83" s="5" t="s">
        <v>671</v>
      </c>
      <c r="I83" s="5" t="s">
        <v>672</v>
      </c>
      <c r="J83" s="5" t="s">
        <v>45</v>
      </c>
      <c r="K83" s="5" t="s">
        <v>46</v>
      </c>
      <c r="L83" s="5">
        <v>121.82981</v>
      </c>
      <c r="M83" s="5">
        <v>24.515072</v>
      </c>
      <c r="N83" s="5">
        <v>121.832605</v>
      </c>
      <c r="O83" s="5">
        <v>24.511496</v>
      </c>
      <c r="P83" s="6" t="s">
        <v>673</v>
      </c>
      <c r="Q83" s="5" t="s">
        <v>92</v>
      </c>
      <c r="R83" s="5" t="s">
        <v>103</v>
      </c>
      <c r="S83" s="5">
        <v>20.0</v>
      </c>
      <c r="T83" s="5">
        <v>550.0</v>
      </c>
      <c r="U83" s="5">
        <v>40.0</v>
      </c>
      <c r="V83" s="5"/>
      <c r="W83" s="5" t="s">
        <v>50</v>
      </c>
      <c r="X83" s="5"/>
      <c r="Y83" s="6"/>
      <c r="Z83" s="5" t="s">
        <v>422</v>
      </c>
      <c r="AA83" s="5"/>
      <c r="AB83" s="5"/>
      <c r="AC83" s="5" t="s">
        <v>51</v>
      </c>
      <c r="AD83" s="5" t="s">
        <v>51</v>
      </c>
      <c r="AE83" s="5" t="s">
        <v>305</v>
      </c>
      <c r="AF83" s="6" t="s">
        <v>209</v>
      </c>
      <c r="AG83" s="6" t="str">
        <f t="shared" si="1"/>
        <v>24.515072,121.82981</v>
      </c>
      <c r="AH83" s="6"/>
      <c r="AI83" s="5" t="s">
        <v>674</v>
      </c>
      <c r="AJ83" s="5" t="s">
        <v>675</v>
      </c>
    </row>
    <row r="84" ht="79.5" customHeight="1">
      <c r="A84" s="5" t="s">
        <v>36</v>
      </c>
      <c r="B84" s="5" t="s">
        <v>676</v>
      </c>
      <c r="C84" s="5" t="s">
        <v>38</v>
      </c>
      <c r="D84" s="5" t="s">
        <v>39</v>
      </c>
      <c r="E84" s="5" t="s">
        <v>40</v>
      </c>
      <c r="F84" s="5" t="s">
        <v>329</v>
      </c>
      <c r="G84" s="5" t="s">
        <v>651</v>
      </c>
      <c r="H84" s="5" t="s">
        <v>677</v>
      </c>
      <c r="I84" s="5" t="s">
        <v>678</v>
      </c>
      <c r="J84" s="5" t="s">
        <v>45</v>
      </c>
      <c r="K84" s="5" t="s">
        <v>46</v>
      </c>
      <c r="L84" s="5">
        <v>121.833597</v>
      </c>
      <c r="M84" s="5">
        <v>24.504025</v>
      </c>
      <c r="N84" s="5">
        <v>121.835873</v>
      </c>
      <c r="O84" s="5">
        <v>24.498952</v>
      </c>
      <c r="P84" s="6" t="s">
        <v>679</v>
      </c>
      <c r="Q84" s="5" t="s">
        <v>92</v>
      </c>
      <c r="R84" s="5" t="s">
        <v>103</v>
      </c>
      <c r="S84" s="5">
        <v>200.0</v>
      </c>
      <c r="T84" s="5">
        <v>1250.0</v>
      </c>
      <c r="U84" s="5">
        <v>50.0</v>
      </c>
      <c r="V84" s="5"/>
      <c r="W84" s="5" t="s">
        <v>137</v>
      </c>
      <c r="X84" s="5" t="s">
        <v>382</v>
      </c>
      <c r="Y84" s="6" t="s">
        <v>680</v>
      </c>
      <c r="Z84" s="5" t="s">
        <v>681</v>
      </c>
      <c r="AA84" s="5" t="s">
        <v>72</v>
      </c>
      <c r="AB84" s="5"/>
      <c r="AC84" s="5" t="s">
        <v>51</v>
      </c>
      <c r="AD84" s="5" t="s">
        <v>51</v>
      </c>
      <c r="AE84" s="5" t="s">
        <v>305</v>
      </c>
      <c r="AF84" s="6" t="s">
        <v>682</v>
      </c>
      <c r="AG84" s="6" t="str">
        <f t="shared" si="1"/>
        <v>24.504025,121.833597</v>
      </c>
      <c r="AH84" s="6"/>
      <c r="AI84" s="5" t="s">
        <v>674</v>
      </c>
      <c r="AJ84" s="5" t="s">
        <v>683</v>
      </c>
    </row>
    <row r="85" ht="79.5" customHeight="1">
      <c r="A85" s="5" t="s">
        <v>36</v>
      </c>
      <c r="B85" s="5" t="s">
        <v>684</v>
      </c>
      <c r="C85" s="5" t="s">
        <v>38</v>
      </c>
      <c r="D85" s="5" t="s">
        <v>39</v>
      </c>
      <c r="E85" s="5" t="s">
        <v>40</v>
      </c>
      <c r="F85" s="5" t="s">
        <v>41</v>
      </c>
      <c r="G85" s="5" t="s">
        <v>651</v>
      </c>
      <c r="H85" s="5" t="s">
        <v>685</v>
      </c>
      <c r="I85" s="5" t="s">
        <v>686</v>
      </c>
      <c r="J85" s="5" t="s">
        <v>45</v>
      </c>
      <c r="K85" s="5" t="s">
        <v>46</v>
      </c>
      <c r="L85" s="5">
        <v>121.836</v>
      </c>
      <c r="M85" s="5">
        <v>24.499652</v>
      </c>
      <c r="N85" s="5">
        <v>121.831537</v>
      </c>
      <c r="O85" s="5">
        <v>24.491444</v>
      </c>
      <c r="P85" s="6" t="s">
        <v>687</v>
      </c>
      <c r="Q85" s="5" t="s">
        <v>92</v>
      </c>
      <c r="R85" s="5" t="s">
        <v>184</v>
      </c>
      <c r="S85" s="5">
        <v>200.0</v>
      </c>
      <c r="T85" s="5">
        <v>850.0</v>
      </c>
      <c r="U85" s="5">
        <v>70.0</v>
      </c>
      <c r="V85" s="5"/>
      <c r="W85" s="5" t="s">
        <v>137</v>
      </c>
      <c r="X85" s="5" t="s">
        <v>138</v>
      </c>
      <c r="Y85" s="6" t="s">
        <v>688</v>
      </c>
      <c r="Z85" s="5" t="s">
        <v>422</v>
      </c>
      <c r="AA85" s="5" t="s">
        <v>72</v>
      </c>
      <c r="AB85" s="5"/>
      <c r="AC85" s="5" t="s">
        <v>51</v>
      </c>
      <c r="AD85" s="5" t="s">
        <v>51</v>
      </c>
      <c r="AE85" s="5" t="s">
        <v>305</v>
      </c>
      <c r="AF85" s="6" t="s">
        <v>689</v>
      </c>
      <c r="AG85" s="6" t="str">
        <f t="shared" si="1"/>
        <v>24.499652,121.836</v>
      </c>
      <c r="AH85" s="6"/>
      <c r="AI85" s="5" t="s">
        <v>674</v>
      </c>
      <c r="AJ85" s="5" t="s">
        <v>690</v>
      </c>
    </row>
    <row r="86" ht="79.5" customHeight="1">
      <c r="A86" s="5" t="s">
        <v>36</v>
      </c>
      <c r="B86" s="5" t="s">
        <v>691</v>
      </c>
      <c r="C86" s="5" t="s">
        <v>38</v>
      </c>
      <c r="D86" s="5" t="s">
        <v>39</v>
      </c>
      <c r="E86" s="5" t="s">
        <v>40</v>
      </c>
      <c r="F86" s="5" t="s">
        <v>329</v>
      </c>
      <c r="G86" s="5" t="s">
        <v>651</v>
      </c>
      <c r="H86" s="5" t="s">
        <v>692</v>
      </c>
      <c r="I86" s="5" t="s">
        <v>693</v>
      </c>
      <c r="J86" s="5" t="s">
        <v>59</v>
      </c>
      <c r="K86" s="5" t="s">
        <v>101</v>
      </c>
      <c r="L86" s="5">
        <v>121.836025</v>
      </c>
      <c r="M86" s="5">
        <v>24.49579</v>
      </c>
      <c r="N86" s="5">
        <v>121.835304</v>
      </c>
      <c r="O86" s="5">
        <v>24.49552</v>
      </c>
      <c r="P86" s="6" t="s">
        <v>694</v>
      </c>
      <c r="Q86" s="5" t="s">
        <v>48</v>
      </c>
      <c r="R86" s="5" t="s">
        <v>103</v>
      </c>
      <c r="S86" s="5">
        <v>230.0</v>
      </c>
      <c r="T86" s="5">
        <v>100.0</v>
      </c>
      <c r="U86" s="5">
        <v>70.0</v>
      </c>
      <c r="V86" s="5"/>
      <c r="W86" s="5" t="s">
        <v>137</v>
      </c>
      <c r="X86" s="5"/>
      <c r="Y86" s="6" t="s">
        <v>695</v>
      </c>
      <c r="Z86" s="5"/>
      <c r="AA86" s="5" t="s">
        <v>72</v>
      </c>
      <c r="AB86" s="5"/>
      <c r="AC86" s="5" t="s">
        <v>51</v>
      </c>
      <c r="AD86" s="5" t="s">
        <v>51</v>
      </c>
      <c r="AE86" s="5" t="s">
        <v>696</v>
      </c>
      <c r="AF86" s="6" t="s">
        <v>697</v>
      </c>
      <c r="AG86" s="6" t="str">
        <f t="shared" si="1"/>
        <v>24.49579,121.836025</v>
      </c>
      <c r="AH86" s="6"/>
      <c r="AI86" s="5" t="s">
        <v>96</v>
      </c>
      <c r="AJ86" s="5" t="s">
        <v>698</v>
      </c>
    </row>
    <row r="87" ht="79.5" customHeight="1">
      <c r="A87" s="5" t="s">
        <v>36</v>
      </c>
      <c r="B87" s="5" t="s">
        <v>699</v>
      </c>
      <c r="C87" s="5" t="s">
        <v>38</v>
      </c>
      <c r="D87" s="5" t="s">
        <v>39</v>
      </c>
      <c r="E87" s="5" t="s">
        <v>40</v>
      </c>
      <c r="F87" s="5" t="s">
        <v>329</v>
      </c>
      <c r="G87" s="5" t="s">
        <v>651</v>
      </c>
      <c r="H87" s="5" t="s">
        <v>700</v>
      </c>
      <c r="I87" s="5" t="s">
        <v>701</v>
      </c>
      <c r="J87" s="5" t="s">
        <v>59</v>
      </c>
      <c r="K87" s="5" t="s">
        <v>101</v>
      </c>
      <c r="L87" s="5">
        <v>121.832065</v>
      </c>
      <c r="M87" s="5">
        <v>24.492349</v>
      </c>
      <c r="N87" s="5">
        <v>121.831557</v>
      </c>
      <c r="O87" s="5">
        <v>24.49186</v>
      </c>
      <c r="P87" s="6" t="s">
        <v>702</v>
      </c>
      <c r="Q87" s="5" t="s">
        <v>92</v>
      </c>
      <c r="R87" s="5" t="s">
        <v>103</v>
      </c>
      <c r="S87" s="5">
        <v>270.0</v>
      </c>
      <c r="T87" s="5">
        <v>100.0</v>
      </c>
      <c r="U87" s="5">
        <v>70.0</v>
      </c>
      <c r="V87" s="5"/>
      <c r="W87" s="5" t="s">
        <v>137</v>
      </c>
      <c r="X87" s="5"/>
      <c r="Y87" s="6" t="s">
        <v>703</v>
      </c>
      <c r="Z87" s="5" t="s">
        <v>704</v>
      </c>
      <c r="AA87" s="5"/>
      <c r="AB87" s="5"/>
      <c r="AC87" s="5" t="s">
        <v>51</v>
      </c>
      <c r="AD87" s="5" t="s">
        <v>51</v>
      </c>
      <c r="AE87" s="5" t="s">
        <v>696</v>
      </c>
      <c r="AF87" s="6" t="s">
        <v>705</v>
      </c>
      <c r="AG87" s="6" t="str">
        <f t="shared" si="1"/>
        <v>24.492349,121.832065</v>
      </c>
      <c r="AH87" s="6"/>
      <c r="AI87" s="5" t="s">
        <v>96</v>
      </c>
      <c r="AJ87" s="5" t="s">
        <v>706</v>
      </c>
    </row>
    <row r="88" ht="79.5" customHeight="1">
      <c r="A88" s="5" t="s">
        <v>36</v>
      </c>
      <c r="B88" s="5" t="s">
        <v>707</v>
      </c>
      <c r="C88" s="5" t="s">
        <v>38</v>
      </c>
      <c r="D88" s="5" t="s">
        <v>39</v>
      </c>
      <c r="E88" s="5" t="s">
        <v>40</v>
      </c>
      <c r="F88" s="5" t="s">
        <v>41</v>
      </c>
      <c r="G88" s="5" t="s">
        <v>651</v>
      </c>
      <c r="H88" s="5" t="s">
        <v>708</v>
      </c>
      <c r="I88" s="5" t="s">
        <v>709</v>
      </c>
      <c r="J88" s="5" t="s">
        <v>59</v>
      </c>
      <c r="K88" s="5" t="s">
        <v>46</v>
      </c>
      <c r="L88" s="5">
        <v>121.823996</v>
      </c>
      <c r="M88" s="5">
        <v>24.48395</v>
      </c>
      <c r="N88" s="5">
        <v>121.82184</v>
      </c>
      <c r="O88" s="5">
        <v>24.478023</v>
      </c>
      <c r="P88" s="6" t="s">
        <v>710</v>
      </c>
      <c r="Q88" s="5" t="s">
        <v>92</v>
      </c>
      <c r="R88" s="5" t="s">
        <v>103</v>
      </c>
      <c r="S88" s="5">
        <v>35.0</v>
      </c>
      <c r="T88" s="5">
        <v>950.0</v>
      </c>
      <c r="U88" s="5">
        <v>30.0</v>
      </c>
      <c r="V88" s="5"/>
      <c r="W88" s="5" t="s">
        <v>137</v>
      </c>
      <c r="X88" s="5" t="s">
        <v>382</v>
      </c>
      <c r="Y88" s="6" t="s">
        <v>711</v>
      </c>
      <c r="Z88" s="5" t="s">
        <v>422</v>
      </c>
      <c r="AA88" s="5" t="s">
        <v>72</v>
      </c>
      <c r="AB88" s="5"/>
      <c r="AC88" s="5" t="s">
        <v>51</v>
      </c>
      <c r="AD88" s="5" t="s">
        <v>51</v>
      </c>
      <c r="AE88" s="5" t="s">
        <v>305</v>
      </c>
      <c r="AF88" s="6" t="s">
        <v>712</v>
      </c>
      <c r="AG88" s="6" t="str">
        <f t="shared" si="1"/>
        <v>24.48395,121.823996</v>
      </c>
      <c r="AH88" s="6"/>
      <c r="AI88" s="5" t="s">
        <v>713</v>
      </c>
      <c r="AJ88" s="5" t="s">
        <v>714</v>
      </c>
    </row>
    <row r="89" ht="79.5" customHeight="1">
      <c r="A89" s="5" t="s">
        <v>36</v>
      </c>
      <c r="B89" s="5" t="s">
        <v>715</v>
      </c>
      <c r="C89" s="5" t="s">
        <v>38</v>
      </c>
      <c r="D89" s="5" t="s">
        <v>39</v>
      </c>
      <c r="E89" s="5" t="s">
        <v>40</v>
      </c>
      <c r="F89" s="5" t="s">
        <v>329</v>
      </c>
      <c r="G89" s="5" t="s">
        <v>651</v>
      </c>
      <c r="H89" s="5" t="s">
        <v>716</v>
      </c>
      <c r="I89" s="5" t="s">
        <v>717</v>
      </c>
      <c r="J89" s="5" t="s">
        <v>45</v>
      </c>
      <c r="K89" s="5" t="s">
        <v>101</v>
      </c>
      <c r="L89" s="5">
        <v>121.823766</v>
      </c>
      <c r="M89" s="5">
        <v>24.48219</v>
      </c>
      <c r="N89" s="5">
        <v>121.823306</v>
      </c>
      <c r="O89" s="5">
        <v>24.481457</v>
      </c>
      <c r="P89" s="6" t="s">
        <v>694</v>
      </c>
      <c r="Q89" s="5" t="s">
        <v>48</v>
      </c>
      <c r="R89" s="5" t="s">
        <v>69</v>
      </c>
      <c r="S89" s="5">
        <v>60.0</v>
      </c>
      <c r="T89" s="5">
        <v>100.0</v>
      </c>
      <c r="U89" s="5">
        <v>70.0</v>
      </c>
      <c r="V89" s="5"/>
      <c r="W89" s="5" t="s">
        <v>137</v>
      </c>
      <c r="X89" s="5"/>
      <c r="Y89" s="6" t="s">
        <v>695</v>
      </c>
      <c r="Z89" s="5" t="s">
        <v>718</v>
      </c>
      <c r="AA89" s="5"/>
      <c r="AB89" s="5"/>
      <c r="AC89" s="5" t="s">
        <v>51</v>
      </c>
      <c r="AD89" s="5" t="s">
        <v>51</v>
      </c>
      <c r="AE89" s="5" t="s">
        <v>719</v>
      </c>
      <c r="AF89" s="6" t="s">
        <v>720</v>
      </c>
      <c r="AG89" s="6" t="str">
        <f t="shared" si="1"/>
        <v>24.48219,121.823766</v>
      </c>
      <c r="AH89" s="6"/>
      <c r="AI89" s="5"/>
      <c r="AJ89" s="5" t="s">
        <v>721</v>
      </c>
    </row>
    <row r="90" ht="79.5" customHeight="1">
      <c r="A90" s="5" t="s">
        <v>36</v>
      </c>
      <c r="B90" s="5" t="s">
        <v>722</v>
      </c>
      <c r="C90" s="5" t="s">
        <v>38</v>
      </c>
      <c r="D90" s="5" t="s">
        <v>39</v>
      </c>
      <c r="E90" s="5" t="s">
        <v>40</v>
      </c>
      <c r="F90" s="5" t="s">
        <v>329</v>
      </c>
      <c r="G90" s="5" t="s">
        <v>651</v>
      </c>
      <c r="H90" s="5" t="s">
        <v>723</v>
      </c>
      <c r="I90" s="5" t="s">
        <v>724</v>
      </c>
      <c r="J90" s="5" t="s">
        <v>59</v>
      </c>
      <c r="K90" s="5" t="s">
        <v>46</v>
      </c>
      <c r="L90" s="5">
        <v>121.821626</v>
      </c>
      <c r="M90" s="5">
        <v>24.475164</v>
      </c>
      <c r="N90" s="5">
        <v>121.82223</v>
      </c>
      <c r="O90" s="5">
        <v>24.473683</v>
      </c>
      <c r="P90" s="6" t="s">
        <v>725</v>
      </c>
      <c r="Q90" s="5" t="s">
        <v>92</v>
      </c>
      <c r="R90" s="5" t="s">
        <v>103</v>
      </c>
      <c r="S90" s="5">
        <v>200.0</v>
      </c>
      <c r="T90" s="5">
        <v>250.0</v>
      </c>
      <c r="U90" s="5">
        <v>45.0</v>
      </c>
      <c r="V90" s="5"/>
      <c r="W90" s="5" t="s">
        <v>50</v>
      </c>
      <c r="X90" s="5"/>
      <c r="Y90" s="6" t="s">
        <v>726</v>
      </c>
      <c r="Z90" s="5" t="s">
        <v>422</v>
      </c>
      <c r="AA90" s="5" t="s">
        <v>72</v>
      </c>
      <c r="AB90" s="5"/>
      <c r="AC90" s="5" t="s">
        <v>51</v>
      </c>
      <c r="AD90" s="5" t="s">
        <v>51</v>
      </c>
      <c r="AE90" s="5" t="s">
        <v>727</v>
      </c>
      <c r="AF90" s="6" t="s">
        <v>728</v>
      </c>
      <c r="AG90" s="6" t="str">
        <f t="shared" si="1"/>
        <v>24.475164,121.821626</v>
      </c>
      <c r="AH90" s="6"/>
      <c r="AI90" s="5" t="s">
        <v>713</v>
      </c>
      <c r="AJ90" s="5" t="s">
        <v>729</v>
      </c>
    </row>
    <row r="91" ht="79.5" customHeight="1">
      <c r="A91" s="5" t="s">
        <v>36</v>
      </c>
      <c r="B91" s="5" t="s">
        <v>730</v>
      </c>
      <c r="C91" s="5" t="s">
        <v>38</v>
      </c>
      <c r="D91" s="5" t="s">
        <v>39</v>
      </c>
      <c r="E91" s="5" t="s">
        <v>40</v>
      </c>
      <c r="F91" s="5" t="s">
        <v>329</v>
      </c>
      <c r="G91" s="5" t="s">
        <v>651</v>
      </c>
      <c r="H91" s="5" t="s">
        <v>731</v>
      </c>
      <c r="I91" s="5" t="s">
        <v>732</v>
      </c>
      <c r="J91" s="5" t="s">
        <v>59</v>
      </c>
      <c r="K91" s="5" t="s">
        <v>46</v>
      </c>
      <c r="L91" s="5">
        <v>121.821647</v>
      </c>
      <c r="M91" s="5">
        <v>24.472926</v>
      </c>
      <c r="N91" s="5">
        <v>121.819548</v>
      </c>
      <c r="O91" s="5">
        <v>24.471466</v>
      </c>
      <c r="P91" s="6" t="s">
        <v>733</v>
      </c>
      <c r="Q91" s="5" t="s">
        <v>92</v>
      </c>
      <c r="R91" s="5" t="s">
        <v>103</v>
      </c>
      <c r="S91" s="5">
        <v>30.0</v>
      </c>
      <c r="T91" s="5">
        <v>650.0</v>
      </c>
      <c r="U91" s="5">
        <v>60.0</v>
      </c>
      <c r="V91" s="5"/>
      <c r="W91" s="5" t="s">
        <v>137</v>
      </c>
      <c r="X91" s="5" t="s">
        <v>138</v>
      </c>
      <c r="Y91" s="6" t="s">
        <v>734</v>
      </c>
      <c r="Z91" s="5" t="s">
        <v>545</v>
      </c>
      <c r="AA91" s="5" t="s">
        <v>72</v>
      </c>
      <c r="AB91" s="5"/>
      <c r="AC91" s="5" t="s">
        <v>51</v>
      </c>
      <c r="AD91" s="5" t="s">
        <v>51</v>
      </c>
      <c r="AE91" s="5" t="s">
        <v>727</v>
      </c>
      <c r="AF91" s="6" t="s">
        <v>735</v>
      </c>
      <c r="AG91" s="6" t="str">
        <f t="shared" si="1"/>
        <v>24.472926,121.821647</v>
      </c>
      <c r="AH91" s="6"/>
      <c r="AI91" s="5" t="s">
        <v>713</v>
      </c>
      <c r="AJ91" s="5" t="s">
        <v>736</v>
      </c>
    </row>
    <row r="92" ht="79.5" customHeight="1">
      <c r="A92" s="5" t="s">
        <v>36</v>
      </c>
      <c r="B92" s="5" t="s">
        <v>737</v>
      </c>
      <c r="C92" s="5" t="s">
        <v>38</v>
      </c>
      <c r="D92" s="5" t="s">
        <v>39</v>
      </c>
      <c r="E92" s="5" t="s">
        <v>40</v>
      </c>
      <c r="F92" s="5" t="s">
        <v>41</v>
      </c>
      <c r="G92" s="5" t="s">
        <v>651</v>
      </c>
      <c r="H92" s="5" t="s">
        <v>738</v>
      </c>
      <c r="I92" s="5" t="s">
        <v>739</v>
      </c>
      <c r="J92" s="5" t="s">
        <v>45</v>
      </c>
      <c r="K92" s="5" t="s">
        <v>46</v>
      </c>
      <c r="L92" s="5">
        <v>121.819594</v>
      </c>
      <c r="M92" s="5">
        <v>24.470788</v>
      </c>
      <c r="N92" s="5">
        <v>121.819604</v>
      </c>
      <c r="O92" s="5">
        <v>24.473011</v>
      </c>
      <c r="P92" s="6" t="s">
        <v>740</v>
      </c>
      <c r="Q92" s="5" t="s">
        <v>92</v>
      </c>
      <c r="R92" s="5" t="s">
        <v>103</v>
      </c>
      <c r="S92" s="5">
        <v>40.0</v>
      </c>
      <c r="T92" s="5">
        <v>800.0</v>
      </c>
      <c r="U92" s="5">
        <v>25.0</v>
      </c>
      <c r="V92" s="5"/>
      <c r="W92" s="5" t="s">
        <v>50</v>
      </c>
      <c r="X92" s="5"/>
      <c r="Y92" s="6" t="s">
        <v>741</v>
      </c>
      <c r="Z92" s="5" t="s">
        <v>742</v>
      </c>
      <c r="AA92" s="5" t="s">
        <v>72</v>
      </c>
      <c r="AB92" s="5"/>
      <c r="AC92" s="5" t="s">
        <v>51</v>
      </c>
      <c r="AD92" s="5" t="s">
        <v>51</v>
      </c>
      <c r="AE92" s="5" t="s">
        <v>727</v>
      </c>
      <c r="AF92" s="6" t="s">
        <v>743</v>
      </c>
      <c r="AG92" s="6" t="str">
        <f t="shared" si="1"/>
        <v>24.470788,121.819594</v>
      </c>
      <c r="AH92" s="6"/>
      <c r="AI92" s="5" t="s">
        <v>713</v>
      </c>
      <c r="AJ92" s="5" t="s">
        <v>744</v>
      </c>
    </row>
    <row r="93" ht="79.5" customHeight="1">
      <c r="A93" s="5" t="s">
        <v>36</v>
      </c>
      <c r="B93" s="5" t="s">
        <v>745</v>
      </c>
      <c r="C93" s="5" t="s">
        <v>38</v>
      </c>
      <c r="D93" s="5" t="s">
        <v>39</v>
      </c>
      <c r="E93" s="5" t="s">
        <v>40</v>
      </c>
      <c r="F93" s="5" t="s">
        <v>329</v>
      </c>
      <c r="G93" s="5" t="s">
        <v>651</v>
      </c>
      <c r="H93" s="5" t="s">
        <v>746</v>
      </c>
      <c r="I93" s="5" t="s">
        <v>747</v>
      </c>
      <c r="J93" s="5" t="s">
        <v>45</v>
      </c>
      <c r="K93" s="5" t="s">
        <v>46</v>
      </c>
      <c r="L93" s="5">
        <v>121.816735</v>
      </c>
      <c r="M93" s="5">
        <v>24.475314</v>
      </c>
      <c r="N93" s="5">
        <v>121.815212</v>
      </c>
      <c r="O93" s="5">
        <v>24.474142</v>
      </c>
      <c r="P93" s="6" t="s">
        <v>606</v>
      </c>
      <c r="Q93" s="5" t="s">
        <v>92</v>
      </c>
      <c r="R93" s="5" t="s">
        <v>103</v>
      </c>
      <c r="S93" s="5">
        <v>30.0</v>
      </c>
      <c r="T93" s="5">
        <v>100.0</v>
      </c>
      <c r="U93" s="5">
        <v>20.0</v>
      </c>
      <c r="V93" s="5"/>
      <c r="W93" s="5" t="s">
        <v>50</v>
      </c>
      <c r="X93" s="5"/>
      <c r="Y93" s="6" t="s">
        <v>748</v>
      </c>
      <c r="Z93" s="5" t="s">
        <v>147</v>
      </c>
      <c r="AA93" s="5"/>
      <c r="AB93" s="5"/>
      <c r="AC93" s="5" t="s">
        <v>51</v>
      </c>
      <c r="AD93" s="5" t="s">
        <v>51</v>
      </c>
      <c r="AE93" s="5" t="s">
        <v>727</v>
      </c>
      <c r="AF93" s="6" t="s">
        <v>749</v>
      </c>
      <c r="AG93" s="6" t="str">
        <f t="shared" si="1"/>
        <v>24.475314,121.816735</v>
      </c>
      <c r="AH93" s="6"/>
      <c r="AI93" s="5" t="s">
        <v>713</v>
      </c>
      <c r="AJ93" s="5" t="s">
        <v>750</v>
      </c>
    </row>
    <row r="94" ht="79.5" customHeight="1">
      <c r="A94" s="5" t="s">
        <v>36</v>
      </c>
      <c r="B94" s="5" t="s">
        <v>751</v>
      </c>
      <c r="C94" s="5" t="s">
        <v>38</v>
      </c>
      <c r="D94" s="5" t="s">
        <v>39</v>
      </c>
      <c r="E94" s="5" t="s">
        <v>40</v>
      </c>
      <c r="F94" s="5" t="s">
        <v>329</v>
      </c>
      <c r="G94" s="5" t="s">
        <v>651</v>
      </c>
      <c r="H94" s="5" t="s">
        <v>752</v>
      </c>
      <c r="I94" s="5" t="s">
        <v>753</v>
      </c>
      <c r="J94" s="5" t="s">
        <v>45</v>
      </c>
      <c r="K94" s="5" t="s">
        <v>46</v>
      </c>
      <c r="L94" s="5">
        <v>121.774389</v>
      </c>
      <c r="M94" s="5">
        <v>24.436586</v>
      </c>
      <c r="N94" s="5">
        <v>121.774494</v>
      </c>
      <c r="O94" s="5">
        <v>24.436107</v>
      </c>
      <c r="P94" s="6" t="s">
        <v>80</v>
      </c>
      <c r="Q94" s="5" t="s">
        <v>48</v>
      </c>
      <c r="R94" s="5" t="s">
        <v>81</v>
      </c>
      <c r="S94" s="5">
        <v>50.0</v>
      </c>
      <c r="T94" s="5">
        <v>60.0</v>
      </c>
      <c r="U94" s="5">
        <v>60.0</v>
      </c>
      <c r="V94" s="5"/>
      <c r="W94" s="5" t="s">
        <v>50</v>
      </c>
      <c r="X94" s="5"/>
      <c r="Y94" s="6" t="s">
        <v>51</v>
      </c>
      <c r="Z94" s="5" t="s">
        <v>83</v>
      </c>
      <c r="AA94" s="5"/>
      <c r="AB94" s="5"/>
      <c r="AC94" s="5" t="s">
        <v>51</v>
      </c>
      <c r="AD94" s="5" t="s">
        <v>51</v>
      </c>
      <c r="AE94" s="5" t="s">
        <v>754</v>
      </c>
      <c r="AF94" s="6" t="s">
        <v>755</v>
      </c>
      <c r="AG94" s="6" t="str">
        <f t="shared" si="1"/>
        <v>24.436586,121.774389</v>
      </c>
      <c r="AH94" s="6"/>
      <c r="AI94" s="5" t="s">
        <v>337</v>
      </c>
      <c r="AJ94" s="5" t="s">
        <v>756</v>
      </c>
    </row>
    <row r="95" ht="79.5" customHeight="1">
      <c r="A95" s="5" t="s">
        <v>36</v>
      </c>
      <c r="B95" s="5" t="s">
        <v>757</v>
      </c>
      <c r="C95" s="5" t="s">
        <v>38</v>
      </c>
      <c r="D95" s="5" t="s">
        <v>39</v>
      </c>
      <c r="E95" s="5" t="s">
        <v>576</v>
      </c>
      <c r="F95" s="5" t="s">
        <v>577</v>
      </c>
      <c r="G95" s="5" t="s">
        <v>651</v>
      </c>
      <c r="H95" s="5" t="s">
        <v>758</v>
      </c>
      <c r="I95" s="5" t="s">
        <v>759</v>
      </c>
      <c r="J95" s="5" t="s">
        <v>45</v>
      </c>
      <c r="K95" s="5" t="s">
        <v>46</v>
      </c>
      <c r="L95" s="5">
        <v>121.7525864</v>
      </c>
      <c r="M95" s="5">
        <v>24.2929092</v>
      </c>
      <c r="N95" s="5">
        <v>121.7465539</v>
      </c>
      <c r="O95" s="5">
        <v>24.2816916</v>
      </c>
      <c r="P95" s="6" t="s">
        <v>760</v>
      </c>
      <c r="Q95" s="5" t="s">
        <v>92</v>
      </c>
      <c r="R95" s="5" t="s">
        <v>103</v>
      </c>
      <c r="S95" s="5">
        <v>100.0</v>
      </c>
      <c r="T95" s="5">
        <v>500.0</v>
      </c>
      <c r="U95" s="5">
        <v>50.0</v>
      </c>
      <c r="V95" s="5"/>
      <c r="W95" s="5" t="s">
        <v>137</v>
      </c>
      <c r="X95" s="5" t="s">
        <v>761</v>
      </c>
      <c r="Y95" s="6" t="s">
        <v>762</v>
      </c>
      <c r="Z95" s="5" t="s">
        <v>422</v>
      </c>
      <c r="AA95" s="5" t="s">
        <v>72</v>
      </c>
      <c r="AB95" s="5"/>
      <c r="AC95" s="5" t="s">
        <v>51</v>
      </c>
      <c r="AD95" s="5" t="s">
        <v>51</v>
      </c>
      <c r="AE95" s="5" t="s">
        <v>763</v>
      </c>
      <c r="AF95" s="6" t="s">
        <v>764</v>
      </c>
      <c r="AG95" s="6" t="str">
        <f t="shared" si="1"/>
        <v>24.2929092,121.7525864</v>
      </c>
      <c r="AH95" s="6"/>
      <c r="AI95" s="5" t="s">
        <v>584</v>
      </c>
      <c r="AJ95" s="5" t="s">
        <v>765</v>
      </c>
    </row>
    <row r="96" ht="79.5" customHeight="1">
      <c r="A96" s="5" t="s">
        <v>36</v>
      </c>
      <c r="B96" s="5" t="s">
        <v>766</v>
      </c>
      <c r="C96" s="5" t="s">
        <v>38</v>
      </c>
      <c r="D96" s="5" t="s">
        <v>39</v>
      </c>
      <c r="E96" s="5" t="s">
        <v>576</v>
      </c>
      <c r="F96" s="5" t="s">
        <v>577</v>
      </c>
      <c r="G96" s="5" t="s">
        <v>651</v>
      </c>
      <c r="H96" s="5" t="s">
        <v>767</v>
      </c>
      <c r="I96" s="5" t="s">
        <v>768</v>
      </c>
      <c r="J96" s="5" t="s">
        <v>45</v>
      </c>
      <c r="K96" s="5" t="s">
        <v>46</v>
      </c>
      <c r="L96" s="5">
        <v>121.6889389</v>
      </c>
      <c r="M96" s="5">
        <v>24.2191025</v>
      </c>
      <c r="N96" s="5">
        <v>121.6870647</v>
      </c>
      <c r="O96" s="5">
        <v>24.2160006</v>
      </c>
      <c r="P96" s="6" t="s">
        <v>769</v>
      </c>
      <c r="Q96" s="5" t="s">
        <v>92</v>
      </c>
      <c r="R96" s="5" t="s">
        <v>103</v>
      </c>
      <c r="S96" s="5">
        <v>50.0</v>
      </c>
      <c r="T96" s="5">
        <v>1300.0</v>
      </c>
      <c r="U96" s="5">
        <v>80.0</v>
      </c>
      <c r="V96" s="5" t="s">
        <v>49</v>
      </c>
      <c r="W96" s="5" t="s">
        <v>137</v>
      </c>
      <c r="X96" s="5" t="s">
        <v>761</v>
      </c>
      <c r="Y96" s="6" t="s">
        <v>770</v>
      </c>
      <c r="Z96" s="5" t="s">
        <v>771</v>
      </c>
      <c r="AA96" s="5" t="s">
        <v>72</v>
      </c>
      <c r="AB96" s="5"/>
      <c r="AC96" s="5" t="s">
        <v>51</v>
      </c>
      <c r="AD96" s="5" t="s">
        <v>51</v>
      </c>
      <c r="AE96" s="5" t="s">
        <v>772</v>
      </c>
      <c r="AF96" s="6" t="s">
        <v>773</v>
      </c>
      <c r="AG96" s="6" t="str">
        <f t="shared" si="1"/>
        <v>24.2191025,121.6889389</v>
      </c>
      <c r="AH96" s="6"/>
      <c r="AI96" s="5" t="s">
        <v>601</v>
      </c>
      <c r="AJ96" s="5" t="s">
        <v>774</v>
      </c>
    </row>
    <row r="97" ht="79.5" customHeight="1">
      <c r="A97" s="5" t="s">
        <v>36</v>
      </c>
      <c r="B97" s="5" t="s">
        <v>775</v>
      </c>
      <c r="C97" s="5" t="s">
        <v>38</v>
      </c>
      <c r="D97" s="5" t="s">
        <v>39</v>
      </c>
      <c r="E97" s="5" t="s">
        <v>576</v>
      </c>
      <c r="F97" s="5" t="s">
        <v>577</v>
      </c>
      <c r="G97" s="5" t="s">
        <v>651</v>
      </c>
      <c r="H97" s="5" t="s">
        <v>768</v>
      </c>
      <c r="I97" s="5" t="s">
        <v>776</v>
      </c>
      <c r="J97" s="5" t="s">
        <v>45</v>
      </c>
      <c r="K97" s="5" t="s">
        <v>46</v>
      </c>
      <c r="L97" s="5">
        <v>121.688938</v>
      </c>
      <c r="M97" s="5">
        <v>24.219102</v>
      </c>
      <c r="N97" s="5">
        <v>121.672888</v>
      </c>
      <c r="O97" s="5">
        <v>24.208232</v>
      </c>
      <c r="P97" s="6" t="s">
        <v>777</v>
      </c>
      <c r="Q97" s="5" t="s">
        <v>92</v>
      </c>
      <c r="R97" s="5" t="s">
        <v>103</v>
      </c>
      <c r="S97" s="5">
        <v>100.0</v>
      </c>
      <c r="T97" s="5">
        <v>80.0</v>
      </c>
      <c r="U97" s="5">
        <v>90.0</v>
      </c>
      <c r="V97" s="5"/>
      <c r="W97" s="5" t="s">
        <v>137</v>
      </c>
      <c r="X97" s="5" t="s">
        <v>261</v>
      </c>
      <c r="Y97" s="6" t="s">
        <v>778</v>
      </c>
      <c r="Z97" s="5" t="s">
        <v>779</v>
      </c>
      <c r="AA97" s="5" t="s">
        <v>72</v>
      </c>
      <c r="AB97" s="5"/>
      <c r="AC97" s="5" t="s">
        <v>51</v>
      </c>
      <c r="AD97" s="5" t="s">
        <v>51</v>
      </c>
      <c r="AE97" s="5" t="s">
        <v>780</v>
      </c>
      <c r="AF97" s="6" t="s">
        <v>781</v>
      </c>
      <c r="AG97" s="6" t="str">
        <f t="shared" si="1"/>
        <v>24.219102,121.688938</v>
      </c>
      <c r="AH97" s="6"/>
      <c r="AI97" s="5" t="s">
        <v>601</v>
      </c>
      <c r="AJ97" s="5" t="s">
        <v>782</v>
      </c>
    </row>
    <row r="98" ht="79.5" customHeight="1">
      <c r="A98" s="5" t="s">
        <v>36</v>
      </c>
      <c r="B98" s="5" t="s">
        <v>783</v>
      </c>
      <c r="C98" s="5" t="s">
        <v>38</v>
      </c>
      <c r="D98" s="5" t="s">
        <v>39</v>
      </c>
      <c r="E98" s="5" t="s">
        <v>576</v>
      </c>
      <c r="F98" s="5" t="s">
        <v>577</v>
      </c>
      <c r="G98" s="5" t="s">
        <v>651</v>
      </c>
      <c r="H98" s="5" t="s">
        <v>776</v>
      </c>
      <c r="I98" s="5" t="s">
        <v>784</v>
      </c>
      <c r="J98" s="5" t="s">
        <v>45</v>
      </c>
      <c r="K98" s="5" t="s">
        <v>46</v>
      </c>
      <c r="L98" s="5">
        <v>121.6728889</v>
      </c>
      <c r="M98" s="5">
        <v>24.2082324</v>
      </c>
      <c r="N98" s="5">
        <v>121.6690411</v>
      </c>
      <c r="O98" s="5">
        <v>24.2072282</v>
      </c>
      <c r="P98" s="6" t="s">
        <v>785</v>
      </c>
      <c r="Q98" s="5" t="s">
        <v>92</v>
      </c>
      <c r="R98" s="5" t="s">
        <v>103</v>
      </c>
      <c r="S98" s="5">
        <v>80.0</v>
      </c>
      <c r="T98" s="5">
        <v>370.0</v>
      </c>
      <c r="U98" s="5">
        <v>60.0</v>
      </c>
      <c r="V98" s="5"/>
      <c r="W98" s="5" t="s">
        <v>137</v>
      </c>
      <c r="X98" s="5" t="s">
        <v>261</v>
      </c>
      <c r="Y98" s="6" t="s">
        <v>786</v>
      </c>
      <c r="Z98" s="5" t="s">
        <v>393</v>
      </c>
      <c r="AA98" s="5" t="s">
        <v>72</v>
      </c>
      <c r="AB98" s="5"/>
      <c r="AC98" s="5" t="s">
        <v>51</v>
      </c>
      <c r="AD98" s="5" t="s">
        <v>51</v>
      </c>
      <c r="AE98" s="5" t="s">
        <v>772</v>
      </c>
      <c r="AF98" s="6" t="s">
        <v>787</v>
      </c>
      <c r="AG98" s="6" t="str">
        <f t="shared" si="1"/>
        <v>24.2082324,121.6728889</v>
      </c>
      <c r="AH98" s="6"/>
      <c r="AI98" s="5" t="s">
        <v>601</v>
      </c>
      <c r="AJ98" s="5" t="s">
        <v>788</v>
      </c>
    </row>
    <row r="99" ht="79.5" customHeight="1">
      <c r="A99" s="5" t="s">
        <v>36</v>
      </c>
      <c r="B99" s="5" t="s">
        <v>789</v>
      </c>
      <c r="C99" s="5" t="s">
        <v>38</v>
      </c>
      <c r="D99" s="5" t="s">
        <v>39</v>
      </c>
      <c r="E99" s="5" t="s">
        <v>576</v>
      </c>
      <c r="F99" s="5" t="s">
        <v>577</v>
      </c>
      <c r="G99" s="5" t="s">
        <v>651</v>
      </c>
      <c r="H99" s="5" t="s">
        <v>790</v>
      </c>
      <c r="I99" s="5" t="s">
        <v>784</v>
      </c>
      <c r="J99" s="5" t="s">
        <v>59</v>
      </c>
      <c r="K99" s="5" t="s">
        <v>101</v>
      </c>
      <c r="L99" s="5">
        <v>121.669977</v>
      </c>
      <c r="M99" s="5">
        <v>24.2074797</v>
      </c>
      <c r="N99" s="5">
        <v>121.6690411</v>
      </c>
      <c r="O99" s="5">
        <v>24.2072282</v>
      </c>
      <c r="P99" s="6" t="s">
        <v>453</v>
      </c>
      <c r="Q99" s="5" t="s">
        <v>92</v>
      </c>
      <c r="R99" s="5" t="s">
        <v>103</v>
      </c>
      <c r="S99" s="5">
        <v>100.0</v>
      </c>
      <c r="T99" s="5">
        <v>100.0</v>
      </c>
      <c r="U99" s="5">
        <v>80.0</v>
      </c>
      <c r="V99" s="5"/>
      <c r="W99" s="5" t="s">
        <v>50</v>
      </c>
      <c r="X99" s="5"/>
      <c r="Y99" s="6" t="s">
        <v>791</v>
      </c>
      <c r="Z99" s="5" t="s">
        <v>401</v>
      </c>
      <c r="AA99" s="5"/>
      <c r="AB99" s="5"/>
      <c r="AC99" s="5" t="s">
        <v>51</v>
      </c>
      <c r="AD99" s="5" t="s">
        <v>51</v>
      </c>
      <c r="AE99" s="5" t="s">
        <v>792</v>
      </c>
      <c r="AF99" s="6" t="s">
        <v>793</v>
      </c>
      <c r="AG99" s="6" t="str">
        <f t="shared" si="1"/>
        <v>24.2074797,121.669977</v>
      </c>
      <c r="AH99" s="6"/>
      <c r="AI99" s="5" t="s">
        <v>601</v>
      </c>
      <c r="AJ99" s="5" t="s">
        <v>794</v>
      </c>
    </row>
    <row r="100" ht="79.5" customHeight="1">
      <c r="A100" s="5" t="s">
        <v>36</v>
      </c>
      <c r="B100" s="5" t="s">
        <v>795</v>
      </c>
      <c r="C100" s="5" t="s">
        <v>38</v>
      </c>
      <c r="D100" s="5" t="s">
        <v>39</v>
      </c>
      <c r="E100" s="5" t="s">
        <v>576</v>
      </c>
      <c r="F100" s="5" t="s">
        <v>577</v>
      </c>
      <c r="G100" s="5" t="s">
        <v>651</v>
      </c>
      <c r="H100" s="5" t="s">
        <v>784</v>
      </c>
      <c r="I100" s="5" t="s">
        <v>796</v>
      </c>
      <c r="J100" s="5" t="s">
        <v>45</v>
      </c>
      <c r="K100" s="5" t="s">
        <v>46</v>
      </c>
      <c r="L100" s="5">
        <v>121.6690411</v>
      </c>
      <c r="M100" s="5">
        <v>24.2072282</v>
      </c>
      <c r="N100" s="5">
        <v>121.6663412</v>
      </c>
      <c r="O100" s="5">
        <v>24.206748</v>
      </c>
      <c r="P100" s="6" t="s">
        <v>797</v>
      </c>
      <c r="Q100" s="5" t="s">
        <v>92</v>
      </c>
      <c r="R100" s="5" t="s">
        <v>103</v>
      </c>
      <c r="S100" s="5">
        <v>60.0</v>
      </c>
      <c r="T100" s="5">
        <v>300.0</v>
      </c>
      <c r="U100" s="5">
        <v>80.0</v>
      </c>
      <c r="V100" s="5"/>
      <c r="W100" s="5" t="s">
        <v>137</v>
      </c>
      <c r="X100" s="5" t="s">
        <v>261</v>
      </c>
      <c r="Y100" s="6" t="s">
        <v>798</v>
      </c>
      <c r="Z100" s="5" t="s">
        <v>799</v>
      </c>
      <c r="AA100" s="5" t="s">
        <v>72</v>
      </c>
      <c r="AB100" s="5"/>
      <c r="AC100" s="5" t="s">
        <v>51</v>
      </c>
      <c r="AD100" s="5" t="s">
        <v>51</v>
      </c>
      <c r="AE100" s="5" t="s">
        <v>772</v>
      </c>
      <c r="AF100" s="6" t="s">
        <v>800</v>
      </c>
      <c r="AG100" s="6" t="str">
        <f t="shared" si="1"/>
        <v>24.2072282,121.6690411</v>
      </c>
      <c r="AH100" s="6"/>
      <c r="AI100" s="5" t="s">
        <v>601</v>
      </c>
      <c r="AJ100" s="5" t="s">
        <v>801</v>
      </c>
    </row>
    <row r="101" ht="79.5" customHeight="1">
      <c r="A101" s="5" t="s">
        <v>36</v>
      </c>
      <c r="B101" s="5" t="s">
        <v>802</v>
      </c>
      <c r="C101" s="5" t="s">
        <v>38</v>
      </c>
      <c r="D101" s="5" t="s">
        <v>39</v>
      </c>
      <c r="E101" s="5" t="s">
        <v>576</v>
      </c>
      <c r="F101" s="5" t="s">
        <v>577</v>
      </c>
      <c r="G101" s="5" t="s">
        <v>651</v>
      </c>
      <c r="H101" s="5" t="s">
        <v>803</v>
      </c>
      <c r="I101" s="5" t="s">
        <v>804</v>
      </c>
      <c r="J101" s="5" t="s">
        <v>45</v>
      </c>
      <c r="K101" s="5" t="s">
        <v>46</v>
      </c>
      <c r="L101" s="5">
        <v>121.6619377</v>
      </c>
      <c r="M101" s="5">
        <v>24.193532</v>
      </c>
      <c r="N101" s="5">
        <v>121.6609512</v>
      </c>
      <c r="O101" s="5">
        <v>24.1916312</v>
      </c>
      <c r="P101" s="6" t="s">
        <v>805</v>
      </c>
      <c r="Q101" s="5" t="s">
        <v>92</v>
      </c>
      <c r="R101" s="5" t="s">
        <v>103</v>
      </c>
      <c r="S101" s="5">
        <v>50.0</v>
      </c>
      <c r="T101" s="5">
        <v>235.0</v>
      </c>
      <c r="U101" s="5">
        <v>80.0</v>
      </c>
      <c r="V101" s="5"/>
      <c r="W101" s="5" t="s">
        <v>137</v>
      </c>
      <c r="X101" s="5" t="s">
        <v>175</v>
      </c>
      <c r="Y101" s="6" t="s">
        <v>806</v>
      </c>
      <c r="Z101" s="5" t="s">
        <v>599</v>
      </c>
      <c r="AA101" s="5" t="s">
        <v>72</v>
      </c>
      <c r="AB101" s="5"/>
      <c r="AC101" s="5" t="s">
        <v>51</v>
      </c>
      <c r="AD101" s="5" t="s">
        <v>51</v>
      </c>
      <c r="AE101" s="5" t="s">
        <v>772</v>
      </c>
      <c r="AF101" s="6" t="s">
        <v>807</v>
      </c>
      <c r="AG101" s="6" t="str">
        <f t="shared" si="1"/>
        <v>24.193532,121.6619377</v>
      </c>
      <c r="AH101" s="6"/>
      <c r="AI101" s="5" t="s">
        <v>601</v>
      </c>
      <c r="AJ101" s="5" t="s">
        <v>808</v>
      </c>
    </row>
    <row r="102" ht="79.5" customHeight="1">
      <c r="A102" s="5" t="s">
        <v>36</v>
      </c>
      <c r="B102" s="5" t="s">
        <v>809</v>
      </c>
      <c r="C102" s="5" t="s">
        <v>38</v>
      </c>
      <c r="D102" s="5" t="s">
        <v>39</v>
      </c>
      <c r="E102" s="5" t="s">
        <v>576</v>
      </c>
      <c r="F102" s="5" t="s">
        <v>577</v>
      </c>
      <c r="G102" s="5" t="s">
        <v>651</v>
      </c>
      <c r="H102" s="5" t="s">
        <v>810</v>
      </c>
      <c r="I102" s="5" t="s">
        <v>811</v>
      </c>
      <c r="J102" s="5" t="s">
        <v>45</v>
      </c>
      <c r="K102" s="5" t="s">
        <v>46</v>
      </c>
      <c r="L102" s="5">
        <v>121.6598293</v>
      </c>
      <c r="M102" s="5">
        <v>24.1895912</v>
      </c>
      <c r="N102" s="5">
        <v>121.6593821</v>
      </c>
      <c r="O102" s="5">
        <v>24.1870513</v>
      </c>
      <c r="P102" s="6" t="s">
        <v>812</v>
      </c>
      <c r="Q102" s="5" t="s">
        <v>92</v>
      </c>
      <c r="R102" s="5" t="s">
        <v>103</v>
      </c>
      <c r="S102" s="5">
        <v>50.0</v>
      </c>
      <c r="T102" s="5">
        <v>200.0</v>
      </c>
      <c r="U102" s="5">
        <v>80.0</v>
      </c>
      <c r="V102" s="5"/>
      <c r="W102" s="5" t="s">
        <v>70</v>
      </c>
      <c r="X102" s="5"/>
      <c r="Y102" s="6" t="s">
        <v>813</v>
      </c>
      <c r="Z102" s="5" t="s">
        <v>334</v>
      </c>
      <c r="AA102" s="5" t="s">
        <v>72</v>
      </c>
      <c r="AB102" s="5"/>
      <c r="AC102" s="5" t="s">
        <v>51</v>
      </c>
      <c r="AD102" s="5" t="s">
        <v>51</v>
      </c>
      <c r="AE102" s="5" t="s">
        <v>772</v>
      </c>
      <c r="AF102" s="6" t="s">
        <v>814</v>
      </c>
      <c r="AG102" s="6" t="str">
        <f t="shared" si="1"/>
        <v>24.1895912,121.6598293</v>
      </c>
      <c r="AH102" s="6"/>
      <c r="AI102" s="5" t="s">
        <v>601</v>
      </c>
      <c r="AJ102" s="5" t="s">
        <v>815</v>
      </c>
    </row>
    <row r="103" ht="79.5" customHeight="1">
      <c r="A103" s="5" t="s">
        <v>36</v>
      </c>
      <c r="B103" s="5" t="s">
        <v>816</v>
      </c>
      <c r="C103" s="5" t="s">
        <v>38</v>
      </c>
      <c r="D103" s="5" t="s">
        <v>39</v>
      </c>
      <c r="E103" s="5" t="s">
        <v>576</v>
      </c>
      <c r="F103" s="5" t="s">
        <v>577</v>
      </c>
      <c r="G103" s="5" t="s">
        <v>651</v>
      </c>
      <c r="H103" s="5" t="s">
        <v>817</v>
      </c>
      <c r="I103" s="5" t="s">
        <v>818</v>
      </c>
      <c r="J103" s="5" t="s">
        <v>45</v>
      </c>
      <c r="K103" s="5" t="s">
        <v>46</v>
      </c>
      <c r="L103" s="5">
        <v>121.6590706</v>
      </c>
      <c r="M103" s="5">
        <v>24.1862928</v>
      </c>
      <c r="N103" s="5">
        <v>121.6575565</v>
      </c>
      <c r="O103" s="5">
        <v>24.1837283</v>
      </c>
      <c r="P103" s="6" t="s">
        <v>819</v>
      </c>
      <c r="Q103" s="5" t="s">
        <v>92</v>
      </c>
      <c r="R103" s="5" t="s">
        <v>103</v>
      </c>
      <c r="S103" s="5">
        <v>50.0</v>
      </c>
      <c r="T103" s="5">
        <v>410.0</v>
      </c>
      <c r="U103" s="5">
        <v>80.0</v>
      </c>
      <c r="V103" s="5"/>
      <c r="W103" s="5" t="s">
        <v>137</v>
      </c>
      <c r="X103" s="5" t="s">
        <v>175</v>
      </c>
      <c r="Y103" s="6" t="s">
        <v>820</v>
      </c>
      <c r="Z103" s="5" t="s">
        <v>114</v>
      </c>
      <c r="AA103" s="5" t="s">
        <v>72</v>
      </c>
      <c r="AB103" s="5"/>
      <c r="AC103" s="5" t="s">
        <v>51</v>
      </c>
      <c r="AD103" s="5" t="s">
        <v>51</v>
      </c>
      <c r="AE103" s="5" t="s">
        <v>772</v>
      </c>
      <c r="AF103" s="6" t="s">
        <v>821</v>
      </c>
      <c r="AG103" s="6" t="str">
        <f t="shared" si="1"/>
        <v>24.1862928,121.6590706</v>
      </c>
      <c r="AH103" s="6"/>
      <c r="AI103" s="5" t="s">
        <v>601</v>
      </c>
      <c r="AJ103" s="5" t="s">
        <v>822</v>
      </c>
    </row>
    <row r="104" ht="79.5" customHeight="1">
      <c r="A104" s="5" t="s">
        <v>36</v>
      </c>
      <c r="B104" s="5" t="s">
        <v>823</v>
      </c>
      <c r="C104" s="5" t="s">
        <v>38</v>
      </c>
      <c r="D104" s="5" t="s">
        <v>39</v>
      </c>
      <c r="E104" s="5" t="s">
        <v>576</v>
      </c>
      <c r="F104" s="5" t="s">
        <v>577</v>
      </c>
      <c r="G104" s="5" t="s">
        <v>651</v>
      </c>
      <c r="H104" s="5" t="s">
        <v>818</v>
      </c>
      <c r="I104" s="5" t="s">
        <v>824</v>
      </c>
      <c r="J104" s="5" t="s">
        <v>45</v>
      </c>
      <c r="K104" s="5" t="s">
        <v>46</v>
      </c>
      <c r="L104" s="5">
        <v>121.6575565</v>
      </c>
      <c r="M104" s="5">
        <v>24.1837283</v>
      </c>
      <c r="N104" s="5">
        <v>121.648774</v>
      </c>
      <c r="O104" s="5">
        <v>24.15109</v>
      </c>
      <c r="P104" s="6" t="s">
        <v>825</v>
      </c>
      <c r="Q104" s="5" t="s">
        <v>92</v>
      </c>
      <c r="R104" s="5" t="s">
        <v>103</v>
      </c>
      <c r="S104" s="5">
        <v>60.0</v>
      </c>
      <c r="T104" s="5">
        <v>3500.0</v>
      </c>
      <c r="U104" s="5">
        <v>80.0</v>
      </c>
      <c r="V104" s="5"/>
      <c r="W104" s="5" t="s">
        <v>137</v>
      </c>
      <c r="X104" s="5" t="s">
        <v>175</v>
      </c>
      <c r="Y104" s="6" t="s">
        <v>826</v>
      </c>
      <c r="Z104" s="5" t="s">
        <v>827</v>
      </c>
      <c r="AA104" s="5" t="s">
        <v>72</v>
      </c>
      <c r="AB104" s="5"/>
      <c r="AC104" s="5" t="s">
        <v>51</v>
      </c>
      <c r="AD104" s="5" t="s">
        <v>51</v>
      </c>
      <c r="AE104" s="5" t="s">
        <v>772</v>
      </c>
      <c r="AF104" s="6" t="s">
        <v>828</v>
      </c>
      <c r="AG104" s="6" t="str">
        <f t="shared" si="1"/>
        <v>24.1837283,121.6575565</v>
      </c>
      <c r="AH104" s="6"/>
      <c r="AI104" s="5" t="s">
        <v>601</v>
      </c>
      <c r="AJ104" s="5" t="s">
        <v>829</v>
      </c>
    </row>
    <row r="105" ht="79.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6"/>
      <c r="Q105" s="5"/>
      <c r="R105" s="5"/>
      <c r="S105" s="5"/>
      <c r="T105" s="5"/>
      <c r="U105" s="5"/>
      <c r="V105" s="5"/>
      <c r="W105" s="5"/>
      <c r="X105" s="5"/>
      <c r="Y105" s="6"/>
      <c r="Z105" s="5"/>
      <c r="AA105" s="5"/>
      <c r="AB105" s="5"/>
      <c r="AC105" s="5"/>
      <c r="AD105" s="5"/>
      <c r="AE105" s="5"/>
      <c r="AF105" s="6"/>
      <c r="AG105" s="6"/>
      <c r="AH105" s="6"/>
      <c r="AI105" s="5"/>
      <c r="AJ105" s="5"/>
    </row>
    <row r="106" ht="79.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6"/>
      <c r="Q106" s="5"/>
      <c r="R106" s="5"/>
      <c r="S106" s="5"/>
      <c r="T106" s="5"/>
      <c r="U106" s="5"/>
      <c r="V106" s="5"/>
      <c r="W106" s="5"/>
      <c r="X106" s="5"/>
      <c r="Y106" s="6"/>
      <c r="Z106" s="5"/>
      <c r="AA106" s="5"/>
      <c r="AB106" s="5"/>
      <c r="AC106" s="5"/>
      <c r="AD106" s="5"/>
      <c r="AE106" s="5"/>
      <c r="AF106" s="6"/>
      <c r="AG106" s="6"/>
      <c r="AH106" s="6"/>
      <c r="AI106" s="5"/>
      <c r="AJ106" s="5"/>
    </row>
    <row r="107" ht="79.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6"/>
      <c r="Q107" s="5"/>
      <c r="R107" s="5"/>
      <c r="S107" s="5"/>
      <c r="T107" s="5"/>
      <c r="U107" s="5"/>
      <c r="V107" s="5"/>
      <c r="W107" s="5"/>
      <c r="X107" s="5"/>
      <c r="Y107" s="6"/>
      <c r="Z107" s="5"/>
      <c r="AA107" s="5"/>
      <c r="AB107" s="5"/>
      <c r="AC107" s="5"/>
      <c r="AD107" s="5"/>
      <c r="AE107" s="5"/>
      <c r="AF107" s="6"/>
      <c r="AG107" s="6"/>
      <c r="AH107" s="6"/>
      <c r="AI107" s="5"/>
      <c r="AJ107" s="5"/>
    </row>
    <row r="108" ht="79.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6"/>
      <c r="Q108" s="5"/>
      <c r="R108" s="5"/>
      <c r="S108" s="5"/>
      <c r="T108" s="5"/>
      <c r="U108" s="5"/>
      <c r="V108" s="5"/>
      <c r="W108" s="5"/>
      <c r="X108" s="5"/>
      <c r="Y108" s="6"/>
      <c r="Z108" s="5"/>
      <c r="AA108" s="5"/>
      <c r="AB108" s="5"/>
      <c r="AC108" s="5"/>
      <c r="AD108" s="5"/>
      <c r="AE108" s="5"/>
      <c r="AF108" s="6"/>
      <c r="AG108" s="6"/>
      <c r="AH108" s="6"/>
      <c r="AI108" s="5"/>
      <c r="AJ108" s="5"/>
    </row>
    <row r="109" ht="79.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6"/>
      <c r="Q109" s="5"/>
      <c r="R109" s="5"/>
      <c r="S109" s="5"/>
      <c r="T109" s="5"/>
      <c r="U109" s="5"/>
      <c r="V109" s="5"/>
      <c r="W109" s="5"/>
      <c r="X109" s="5"/>
      <c r="Y109" s="6"/>
      <c r="Z109" s="5"/>
      <c r="AA109" s="5"/>
      <c r="AB109" s="5"/>
      <c r="AC109" s="5"/>
      <c r="AD109" s="5"/>
      <c r="AE109" s="5"/>
      <c r="AF109" s="6"/>
      <c r="AG109" s="6"/>
      <c r="AH109" s="6"/>
      <c r="AI109" s="5"/>
      <c r="AJ109" s="5"/>
    </row>
    <row r="110" ht="79.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6"/>
      <c r="Q110" s="5"/>
      <c r="R110" s="5"/>
      <c r="S110" s="5"/>
      <c r="T110" s="5"/>
      <c r="U110" s="5"/>
      <c r="V110" s="5"/>
      <c r="W110" s="5"/>
      <c r="X110" s="5"/>
      <c r="Y110" s="6"/>
      <c r="Z110" s="5"/>
      <c r="AA110" s="5"/>
      <c r="AB110" s="5"/>
      <c r="AC110" s="5"/>
      <c r="AD110" s="5"/>
      <c r="AE110" s="5"/>
      <c r="AF110" s="6"/>
      <c r="AG110" s="6"/>
      <c r="AH110" s="6"/>
      <c r="AI110" s="5"/>
      <c r="AJ110" s="5"/>
    </row>
    <row r="111" ht="79.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6"/>
      <c r="Q111" s="5"/>
      <c r="R111" s="5"/>
      <c r="S111" s="5"/>
      <c r="T111" s="5"/>
      <c r="U111" s="5"/>
      <c r="V111" s="5"/>
      <c r="W111" s="5"/>
      <c r="X111" s="5"/>
      <c r="Y111" s="6"/>
      <c r="Z111" s="5"/>
      <c r="AA111" s="5"/>
      <c r="AB111" s="5"/>
      <c r="AC111" s="5"/>
      <c r="AD111" s="5"/>
      <c r="AE111" s="5"/>
      <c r="AF111" s="6"/>
      <c r="AG111" s="6"/>
      <c r="AH111" s="6"/>
      <c r="AI111" s="5"/>
      <c r="AJ111" s="5"/>
    </row>
    <row r="112" ht="79.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6"/>
      <c r="Q112" s="5"/>
      <c r="R112" s="5"/>
      <c r="S112" s="5"/>
      <c r="T112" s="5"/>
      <c r="U112" s="5"/>
      <c r="V112" s="5"/>
      <c r="W112" s="5"/>
      <c r="X112" s="5"/>
      <c r="Y112" s="6"/>
      <c r="Z112" s="5"/>
      <c r="AA112" s="5"/>
      <c r="AB112" s="5"/>
      <c r="AC112" s="5"/>
      <c r="AD112" s="5"/>
      <c r="AE112" s="5"/>
      <c r="AF112" s="6"/>
      <c r="AG112" s="6"/>
      <c r="AH112" s="6"/>
      <c r="AI112" s="5"/>
      <c r="AJ112" s="5"/>
    </row>
    <row r="113" ht="79.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6"/>
      <c r="Q113" s="5"/>
      <c r="R113" s="5"/>
      <c r="S113" s="5"/>
      <c r="T113" s="5"/>
      <c r="U113" s="5"/>
      <c r="V113" s="5"/>
      <c r="W113" s="5"/>
      <c r="X113" s="5"/>
      <c r="Y113" s="6"/>
      <c r="Z113" s="5"/>
      <c r="AA113" s="5"/>
      <c r="AB113" s="5"/>
      <c r="AC113" s="5"/>
      <c r="AD113" s="5"/>
      <c r="AE113" s="5"/>
      <c r="AF113" s="6"/>
      <c r="AG113" s="6"/>
      <c r="AH113" s="6"/>
      <c r="AI113" s="5"/>
      <c r="AJ113" s="5"/>
    </row>
    <row r="114" ht="79.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6"/>
      <c r="Q114" s="5"/>
      <c r="R114" s="5"/>
      <c r="S114" s="5"/>
      <c r="T114" s="5"/>
      <c r="U114" s="5"/>
      <c r="V114" s="5"/>
      <c r="W114" s="5"/>
      <c r="X114" s="5"/>
      <c r="Y114" s="6"/>
      <c r="Z114" s="5"/>
      <c r="AA114" s="5"/>
      <c r="AB114" s="5"/>
      <c r="AC114" s="5"/>
      <c r="AD114" s="5"/>
      <c r="AE114" s="5"/>
      <c r="AF114" s="6"/>
      <c r="AG114" s="6"/>
      <c r="AH114" s="6"/>
      <c r="AI114" s="5"/>
      <c r="AJ114" s="5"/>
    </row>
    <row r="115" ht="79.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6"/>
      <c r="Q115" s="5"/>
      <c r="R115" s="5"/>
      <c r="S115" s="5"/>
      <c r="T115" s="5"/>
      <c r="U115" s="5"/>
      <c r="V115" s="5"/>
      <c r="W115" s="5"/>
      <c r="X115" s="5"/>
      <c r="Y115" s="6"/>
      <c r="Z115" s="5"/>
      <c r="AA115" s="5"/>
      <c r="AB115" s="5"/>
      <c r="AC115" s="5"/>
      <c r="AD115" s="5"/>
      <c r="AE115" s="5"/>
      <c r="AF115" s="6"/>
      <c r="AG115" s="6"/>
      <c r="AH115" s="6"/>
      <c r="AI115" s="5"/>
      <c r="AJ115" s="5"/>
    </row>
    <row r="116" ht="79.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6"/>
      <c r="Q116" s="5"/>
      <c r="R116" s="5"/>
      <c r="S116" s="5"/>
      <c r="T116" s="5"/>
      <c r="U116" s="5"/>
      <c r="V116" s="5"/>
      <c r="W116" s="5"/>
      <c r="X116" s="5"/>
      <c r="Y116" s="6"/>
      <c r="Z116" s="5"/>
      <c r="AA116" s="5"/>
      <c r="AB116" s="5"/>
      <c r="AC116" s="5"/>
      <c r="AD116" s="5"/>
      <c r="AE116" s="5"/>
      <c r="AF116" s="6"/>
      <c r="AG116" s="6"/>
      <c r="AH116" s="6"/>
      <c r="AI116" s="5"/>
      <c r="AJ116" s="5"/>
    </row>
    <row r="117" ht="79.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6"/>
      <c r="Q117" s="5"/>
      <c r="R117" s="5"/>
      <c r="S117" s="5"/>
      <c r="T117" s="5"/>
      <c r="U117" s="5"/>
      <c r="V117" s="5"/>
      <c r="W117" s="5"/>
      <c r="X117" s="5"/>
      <c r="Y117" s="6"/>
      <c r="Z117" s="5"/>
      <c r="AA117" s="5"/>
      <c r="AB117" s="5"/>
      <c r="AC117" s="5"/>
      <c r="AD117" s="5"/>
      <c r="AE117" s="5"/>
      <c r="AF117" s="6"/>
      <c r="AG117" s="6"/>
      <c r="AH117" s="6"/>
      <c r="AI117" s="5"/>
      <c r="AJ117" s="5"/>
    </row>
    <row r="118" ht="79.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6"/>
      <c r="Q118" s="5"/>
      <c r="R118" s="5"/>
      <c r="S118" s="5"/>
      <c r="T118" s="5"/>
      <c r="U118" s="5"/>
      <c r="V118" s="5"/>
      <c r="W118" s="5"/>
      <c r="X118" s="5"/>
      <c r="Y118" s="6"/>
      <c r="Z118" s="5"/>
      <c r="AA118" s="5"/>
      <c r="AB118" s="5"/>
      <c r="AC118" s="5"/>
      <c r="AD118" s="5"/>
      <c r="AE118" s="5"/>
      <c r="AF118" s="6"/>
      <c r="AG118" s="6"/>
      <c r="AH118" s="6"/>
      <c r="AI118" s="5"/>
      <c r="AJ118" s="5"/>
    </row>
    <row r="119" ht="79.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6"/>
      <c r="Q119" s="5"/>
      <c r="R119" s="5"/>
      <c r="S119" s="5"/>
      <c r="T119" s="5"/>
      <c r="U119" s="5"/>
      <c r="V119" s="5"/>
      <c r="W119" s="5"/>
      <c r="X119" s="5"/>
      <c r="Y119" s="6"/>
      <c r="Z119" s="5"/>
      <c r="AA119" s="5"/>
      <c r="AB119" s="5"/>
      <c r="AC119" s="5"/>
      <c r="AD119" s="5"/>
      <c r="AE119" s="5"/>
      <c r="AF119" s="6"/>
      <c r="AG119" s="6"/>
      <c r="AH119" s="6"/>
      <c r="AI119" s="5"/>
      <c r="AJ119" s="5"/>
    </row>
    <row r="120" ht="79.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6"/>
      <c r="Q120" s="5"/>
      <c r="R120" s="5"/>
      <c r="S120" s="5"/>
      <c r="T120" s="5"/>
      <c r="U120" s="5"/>
      <c r="V120" s="5"/>
      <c r="W120" s="5"/>
      <c r="X120" s="5"/>
      <c r="Y120" s="6"/>
      <c r="Z120" s="5"/>
      <c r="AA120" s="5"/>
      <c r="AB120" s="5"/>
      <c r="AC120" s="5"/>
      <c r="AD120" s="5"/>
      <c r="AE120" s="5"/>
      <c r="AF120" s="6"/>
      <c r="AG120" s="6"/>
      <c r="AH120" s="6"/>
      <c r="AI120" s="5"/>
      <c r="AJ120" s="5"/>
    </row>
    <row r="121" ht="79.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6"/>
      <c r="Q121" s="5"/>
      <c r="R121" s="5"/>
      <c r="S121" s="5"/>
      <c r="T121" s="5"/>
      <c r="U121" s="5"/>
      <c r="V121" s="5"/>
      <c r="W121" s="5"/>
      <c r="X121" s="5"/>
      <c r="Y121" s="6"/>
      <c r="Z121" s="5"/>
      <c r="AA121" s="5"/>
      <c r="AB121" s="5"/>
      <c r="AC121" s="5"/>
      <c r="AD121" s="5"/>
      <c r="AE121" s="5"/>
      <c r="AF121" s="6"/>
      <c r="AG121" s="6"/>
      <c r="AH121" s="6"/>
      <c r="AI121" s="5"/>
      <c r="AJ121" s="5"/>
    </row>
    <row r="122" ht="79.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6"/>
      <c r="Q122" s="5"/>
      <c r="R122" s="5"/>
      <c r="S122" s="5"/>
      <c r="T122" s="5"/>
      <c r="U122" s="5"/>
      <c r="V122" s="5"/>
      <c r="W122" s="5"/>
      <c r="X122" s="5"/>
      <c r="Y122" s="6"/>
      <c r="Z122" s="5"/>
      <c r="AA122" s="5"/>
      <c r="AB122" s="5"/>
      <c r="AC122" s="5"/>
      <c r="AD122" s="5"/>
      <c r="AE122" s="5"/>
      <c r="AF122" s="6"/>
      <c r="AG122" s="6"/>
      <c r="AH122" s="6"/>
      <c r="AI122" s="5"/>
      <c r="AJ122" s="5"/>
    </row>
    <row r="123" ht="79.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6"/>
      <c r="Q123" s="5"/>
      <c r="R123" s="5"/>
      <c r="S123" s="5"/>
      <c r="T123" s="5"/>
      <c r="U123" s="5"/>
      <c r="V123" s="5"/>
      <c r="W123" s="5"/>
      <c r="X123" s="5"/>
      <c r="Y123" s="6"/>
      <c r="Z123" s="5"/>
      <c r="AA123" s="5"/>
      <c r="AB123" s="5"/>
      <c r="AC123" s="5"/>
      <c r="AD123" s="5"/>
      <c r="AE123" s="5"/>
      <c r="AF123" s="6"/>
      <c r="AG123" s="6"/>
      <c r="AH123" s="6"/>
      <c r="AI123" s="5"/>
      <c r="AJ123" s="5"/>
    </row>
    <row r="124" ht="79.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6"/>
      <c r="Q124" s="5"/>
      <c r="R124" s="5"/>
      <c r="S124" s="5"/>
      <c r="T124" s="5"/>
      <c r="U124" s="5"/>
      <c r="V124" s="5"/>
      <c r="W124" s="5"/>
      <c r="X124" s="5"/>
      <c r="Y124" s="6"/>
      <c r="Z124" s="5"/>
      <c r="AA124" s="5"/>
      <c r="AB124" s="5"/>
      <c r="AC124" s="5"/>
      <c r="AD124" s="5"/>
      <c r="AE124" s="5"/>
      <c r="AF124" s="6"/>
      <c r="AG124" s="6"/>
      <c r="AH124" s="6"/>
      <c r="AI124" s="5"/>
      <c r="AJ124" s="5"/>
    </row>
    <row r="125" ht="79.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6"/>
      <c r="Q125" s="5"/>
      <c r="R125" s="5"/>
      <c r="S125" s="5"/>
      <c r="T125" s="5"/>
      <c r="U125" s="5"/>
      <c r="V125" s="5"/>
      <c r="W125" s="5"/>
      <c r="X125" s="5"/>
      <c r="Y125" s="6"/>
      <c r="Z125" s="5"/>
      <c r="AA125" s="5"/>
      <c r="AB125" s="5"/>
      <c r="AC125" s="5"/>
      <c r="AD125" s="5"/>
      <c r="AE125" s="5"/>
      <c r="AF125" s="6"/>
      <c r="AG125" s="6"/>
      <c r="AH125" s="6"/>
      <c r="AI125" s="5"/>
      <c r="AJ125" s="5"/>
    </row>
    <row r="126" ht="79.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6"/>
      <c r="Q126" s="5"/>
      <c r="R126" s="5"/>
      <c r="S126" s="5"/>
      <c r="T126" s="5"/>
      <c r="U126" s="5"/>
      <c r="V126" s="5"/>
      <c r="W126" s="5"/>
      <c r="X126" s="5"/>
      <c r="Y126" s="6"/>
      <c r="Z126" s="5"/>
      <c r="AA126" s="5"/>
      <c r="AB126" s="5"/>
      <c r="AC126" s="5"/>
      <c r="AD126" s="5"/>
      <c r="AE126" s="5"/>
      <c r="AF126" s="6"/>
      <c r="AG126" s="6"/>
      <c r="AH126" s="6"/>
      <c r="AI126" s="5"/>
      <c r="AJ126" s="5"/>
    </row>
    <row r="127" ht="79.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6"/>
      <c r="Q127" s="5"/>
      <c r="R127" s="5"/>
      <c r="S127" s="5"/>
      <c r="T127" s="5"/>
      <c r="U127" s="5"/>
      <c r="V127" s="5"/>
      <c r="W127" s="5"/>
      <c r="X127" s="5"/>
      <c r="Y127" s="6"/>
      <c r="Z127" s="5"/>
      <c r="AA127" s="5"/>
      <c r="AB127" s="5"/>
      <c r="AC127" s="5"/>
      <c r="AD127" s="5"/>
      <c r="AE127" s="5"/>
      <c r="AF127" s="6"/>
      <c r="AG127" s="6"/>
      <c r="AH127" s="6"/>
      <c r="AI127" s="5"/>
      <c r="AJ127" s="5"/>
    </row>
    <row r="128" ht="79.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6"/>
      <c r="Q128" s="5"/>
      <c r="R128" s="5"/>
      <c r="S128" s="5"/>
      <c r="T128" s="5"/>
      <c r="U128" s="5"/>
      <c r="V128" s="5"/>
      <c r="W128" s="5"/>
      <c r="X128" s="5"/>
      <c r="Y128" s="6"/>
      <c r="Z128" s="5"/>
      <c r="AA128" s="5"/>
      <c r="AB128" s="5"/>
      <c r="AC128" s="5"/>
      <c r="AD128" s="5"/>
      <c r="AE128" s="5"/>
      <c r="AF128" s="6"/>
      <c r="AG128" s="6"/>
      <c r="AH128" s="6"/>
      <c r="AI128" s="5"/>
      <c r="AJ128" s="5"/>
    </row>
    <row r="129" ht="79.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6"/>
      <c r="Q129" s="5"/>
      <c r="R129" s="5"/>
      <c r="S129" s="5"/>
      <c r="T129" s="5"/>
      <c r="U129" s="5"/>
      <c r="V129" s="5"/>
      <c r="W129" s="5"/>
      <c r="X129" s="5"/>
      <c r="Y129" s="6"/>
      <c r="Z129" s="5"/>
      <c r="AA129" s="5"/>
      <c r="AB129" s="5"/>
      <c r="AC129" s="5"/>
      <c r="AD129" s="5"/>
      <c r="AE129" s="5"/>
      <c r="AF129" s="6"/>
      <c r="AG129" s="6"/>
      <c r="AH129" s="6"/>
      <c r="AI129" s="5"/>
      <c r="AJ129" s="5"/>
    </row>
    <row r="130" ht="79.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6"/>
      <c r="Q130" s="5"/>
      <c r="R130" s="5"/>
      <c r="S130" s="5"/>
      <c r="T130" s="5"/>
      <c r="U130" s="5"/>
      <c r="V130" s="5"/>
      <c r="W130" s="5"/>
      <c r="X130" s="5"/>
      <c r="Y130" s="6"/>
      <c r="Z130" s="5"/>
      <c r="AA130" s="5"/>
      <c r="AB130" s="5"/>
      <c r="AC130" s="5"/>
      <c r="AD130" s="5"/>
      <c r="AE130" s="5"/>
      <c r="AF130" s="6"/>
      <c r="AG130" s="6"/>
      <c r="AH130" s="6"/>
      <c r="AI130" s="5"/>
      <c r="AJ130" s="5"/>
    </row>
    <row r="131" ht="79.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6"/>
      <c r="Q131" s="5"/>
      <c r="R131" s="5"/>
      <c r="S131" s="5"/>
      <c r="T131" s="5"/>
      <c r="U131" s="5"/>
      <c r="V131" s="5"/>
      <c r="W131" s="5"/>
      <c r="X131" s="5"/>
      <c r="Y131" s="6"/>
      <c r="Z131" s="5"/>
      <c r="AA131" s="5"/>
      <c r="AB131" s="5"/>
      <c r="AC131" s="5"/>
      <c r="AD131" s="5"/>
      <c r="AE131" s="5"/>
      <c r="AF131" s="6"/>
      <c r="AG131" s="6"/>
      <c r="AH131" s="6"/>
      <c r="AI131" s="5"/>
      <c r="AJ131" s="5"/>
    </row>
    <row r="132" ht="79.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6"/>
      <c r="Q132" s="5"/>
      <c r="R132" s="5"/>
      <c r="S132" s="5"/>
      <c r="T132" s="5"/>
      <c r="U132" s="5"/>
      <c r="V132" s="5"/>
      <c r="W132" s="5"/>
      <c r="X132" s="5"/>
      <c r="Y132" s="6"/>
      <c r="Z132" s="5"/>
      <c r="AA132" s="5"/>
      <c r="AB132" s="5"/>
      <c r="AC132" s="5"/>
      <c r="AD132" s="5"/>
      <c r="AE132" s="5"/>
      <c r="AF132" s="6"/>
      <c r="AG132" s="6"/>
      <c r="AH132" s="6"/>
      <c r="AI132" s="5"/>
      <c r="AJ132" s="5"/>
    </row>
    <row r="133" ht="79.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6"/>
      <c r="Q133" s="5"/>
      <c r="R133" s="5"/>
      <c r="S133" s="5"/>
      <c r="T133" s="5"/>
      <c r="U133" s="5"/>
      <c r="V133" s="5"/>
      <c r="W133" s="5"/>
      <c r="X133" s="5"/>
      <c r="Y133" s="6"/>
      <c r="Z133" s="5"/>
      <c r="AA133" s="5"/>
      <c r="AB133" s="5"/>
      <c r="AC133" s="5"/>
      <c r="AD133" s="5"/>
      <c r="AE133" s="5"/>
      <c r="AF133" s="6"/>
      <c r="AG133" s="6"/>
      <c r="AH133" s="6"/>
      <c r="AI133" s="5"/>
      <c r="AJ133" s="5"/>
    </row>
    <row r="134" ht="79.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6"/>
      <c r="Q134" s="5"/>
      <c r="R134" s="5"/>
      <c r="S134" s="5"/>
      <c r="T134" s="5"/>
      <c r="U134" s="5"/>
      <c r="V134" s="5"/>
      <c r="W134" s="5"/>
      <c r="X134" s="5"/>
      <c r="Y134" s="6"/>
      <c r="Z134" s="5"/>
      <c r="AA134" s="5"/>
      <c r="AB134" s="5"/>
      <c r="AC134" s="5"/>
      <c r="AD134" s="5"/>
      <c r="AE134" s="5"/>
      <c r="AF134" s="6"/>
      <c r="AG134" s="6"/>
      <c r="AH134" s="6"/>
      <c r="AI134" s="5"/>
      <c r="AJ134" s="5"/>
    </row>
    <row r="135" ht="79.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6"/>
      <c r="Q135" s="5"/>
      <c r="R135" s="5"/>
      <c r="S135" s="5"/>
      <c r="T135" s="5"/>
      <c r="U135" s="5"/>
      <c r="V135" s="5"/>
      <c r="W135" s="5"/>
      <c r="X135" s="5"/>
      <c r="Y135" s="6"/>
      <c r="Z135" s="5"/>
      <c r="AA135" s="5"/>
      <c r="AB135" s="5"/>
      <c r="AC135" s="5"/>
      <c r="AD135" s="5"/>
      <c r="AE135" s="5"/>
      <c r="AF135" s="6"/>
      <c r="AG135" s="6"/>
      <c r="AH135" s="6"/>
      <c r="AI135" s="5"/>
      <c r="AJ135" s="5"/>
    </row>
    <row r="136" ht="79.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6"/>
      <c r="Q136" s="5"/>
      <c r="R136" s="5"/>
      <c r="S136" s="5"/>
      <c r="T136" s="5"/>
      <c r="U136" s="5"/>
      <c r="V136" s="5"/>
      <c r="W136" s="5"/>
      <c r="X136" s="5"/>
      <c r="Y136" s="6"/>
      <c r="Z136" s="5"/>
      <c r="AA136" s="5"/>
      <c r="AB136" s="5"/>
      <c r="AC136" s="5"/>
      <c r="AD136" s="5"/>
      <c r="AE136" s="5"/>
      <c r="AF136" s="6"/>
      <c r="AG136" s="6"/>
      <c r="AH136" s="6"/>
      <c r="AI136" s="5"/>
      <c r="AJ136" s="5"/>
    </row>
    <row r="137" ht="79.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6"/>
      <c r="Q137" s="5"/>
      <c r="R137" s="5"/>
      <c r="S137" s="5"/>
      <c r="T137" s="5"/>
      <c r="U137" s="5"/>
      <c r="V137" s="5"/>
      <c r="W137" s="5"/>
      <c r="X137" s="5"/>
      <c r="Y137" s="6"/>
      <c r="Z137" s="5"/>
      <c r="AA137" s="5"/>
      <c r="AB137" s="5"/>
      <c r="AC137" s="5"/>
      <c r="AD137" s="5"/>
      <c r="AE137" s="5"/>
      <c r="AF137" s="6"/>
      <c r="AG137" s="6"/>
      <c r="AH137" s="6"/>
      <c r="AI137" s="5"/>
      <c r="AJ137" s="5"/>
    </row>
    <row r="138" ht="79.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6"/>
      <c r="Q138" s="5"/>
      <c r="R138" s="5"/>
      <c r="S138" s="5"/>
      <c r="T138" s="5"/>
      <c r="U138" s="5"/>
      <c r="V138" s="5"/>
      <c r="W138" s="5"/>
      <c r="X138" s="5"/>
      <c r="Y138" s="6"/>
      <c r="Z138" s="5"/>
      <c r="AA138" s="5"/>
      <c r="AB138" s="5"/>
      <c r="AC138" s="5"/>
      <c r="AD138" s="5"/>
      <c r="AE138" s="5"/>
      <c r="AF138" s="6"/>
      <c r="AG138" s="6"/>
      <c r="AH138" s="6"/>
      <c r="AI138" s="5"/>
      <c r="AJ138" s="5"/>
    </row>
    <row r="139" ht="79.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6"/>
      <c r="Q139" s="5"/>
      <c r="R139" s="5"/>
      <c r="S139" s="5"/>
      <c r="T139" s="5"/>
      <c r="U139" s="5"/>
      <c r="V139" s="5"/>
      <c r="W139" s="5"/>
      <c r="X139" s="5"/>
      <c r="Y139" s="6"/>
      <c r="Z139" s="5"/>
      <c r="AA139" s="5"/>
      <c r="AB139" s="5"/>
      <c r="AC139" s="5"/>
      <c r="AD139" s="5"/>
      <c r="AE139" s="5"/>
      <c r="AF139" s="6"/>
      <c r="AG139" s="6"/>
      <c r="AH139" s="6"/>
      <c r="AI139" s="5"/>
      <c r="AJ139" s="5"/>
    </row>
    <row r="140" ht="79.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6"/>
      <c r="Q140" s="5"/>
      <c r="R140" s="5"/>
      <c r="S140" s="5"/>
      <c r="T140" s="5"/>
      <c r="U140" s="5"/>
      <c r="V140" s="5"/>
      <c r="W140" s="5"/>
      <c r="X140" s="5"/>
      <c r="Y140" s="6"/>
      <c r="Z140" s="5"/>
      <c r="AA140" s="5"/>
      <c r="AB140" s="5"/>
      <c r="AC140" s="5"/>
      <c r="AD140" s="5"/>
      <c r="AE140" s="5"/>
      <c r="AF140" s="6"/>
      <c r="AG140" s="6"/>
      <c r="AH140" s="6"/>
      <c r="AI140" s="5"/>
      <c r="AJ140" s="5"/>
    </row>
    <row r="141" ht="79.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6"/>
      <c r="Q141" s="5"/>
      <c r="R141" s="5"/>
      <c r="S141" s="5"/>
      <c r="T141" s="5"/>
      <c r="U141" s="5"/>
      <c r="V141" s="5"/>
      <c r="W141" s="5"/>
      <c r="X141" s="5"/>
      <c r="Y141" s="6"/>
      <c r="Z141" s="5"/>
      <c r="AA141" s="5"/>
      <c r="AB141" s="5"/>
      <c r="AC141" s="5"/>
      <c r="AD141" s="5"/>
      <c r="AE141" s="5"/>
      <c r="AF141" s="6"/>
      <c r="AG141" s="6"/>
      <c r="AH141" s="6"/>
      <c r="AI141" s="5"/>
      <c r="AJ141" s="5"/>
    </row>
    <row r="142" ht="79.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6"/>
      <c r="Q142" s="5"/>
      <c r="R142" s="5"/>
      <c r="S142" s="5"/>
      <c r="T142" s="5"/>
      <c r="U142" s="5"/>
      <c r="V142" s="5"/>
      <c r="W142" s="5"/>
      <c r="X142" s="5"/>
      <c r="Y142" s="6"/>
      <c r="Z142" s="5"/>
      <c r="AA142" s="5"/>
      <c r="AB142" s="5"/>
      <c r="AC142" s="5"/>
      <c r="AD142" s="5"/>
      <c r="AE142" s="5"/>
      <c r="AF142" s="6"/>
      <c r="AG142" s="6"/>
      <c r="AH142" s="6"/>
      <c r="AI142" s="5"/>
      <c r="AJ142" s="5"/>
    </row>
    <row r="143" ht="79.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6"/>
      <c r="Q143" s="5"/>
      <c r="R143" s="5"/>
      <c r="S143" s="5"/>
      <c r="T143" s="5"/>
      <c r="U143" s="5"/>
      <c r="V143" s="5"/>
      <c r="W143" s="5"/>
      <c r="X143" s="5"/>
      <c r="Y143" s="6"/>
      <c r="Z143" s="5"/>
      <c r="AA143" s="5"/>
      <c r="AB143" s="5"/>
      <c r="AC143" s="5"/>
      <c r="AD143" s="5"/>
      <c r="AE143" s="5"/>
      <c r="AF143" s="6"/>
      <c r="AG143" s="6"/>
      <c r="AH143" s="6"/>
      <c r="AI143" s="5"/>
      <c r="AJ143" s="5"/>
    </row>
    <row r="144" ht="79.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6"/>
      <c r="Q144" s="5"/>
      <c r="R144" s="5"/>
      <c r="S144" s="5"/>
      <c r="T144" s="5"/>
      <c r="U144" s="5"/>
      <c r="V144" s="5"/>
      <c r="W144" s="5"/>
      <c r="X144" s="5"/>
      <c r="Y144" s="6"/>
      <c r="Z144" s="5"/>
      <c r="AA144" s="5"/>
      <c r="AB144" s="5"/>
      <c r="AC144" s="5"/>
      <c r="AD144" s="5"/>
      <c r="AE144" s="5"/>
      <c r="AF144" s="6"/>
      <c r="AG144" s="6"/>
      <c r="AH144" s="6"/>
      <c r="AI144" s="5"/>
      <c r="AJ144" s="5"/>
    </row>
    <row r="145" ht="79.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6"/>
      <c r="Q145" s="5"/>
      <c r="R145" s="5"/>
      <c r="S145" s="5"/>
      <c r="T145" s="5"/>
      <c r="U145" s="5"/>
      <c r="V145" s="5"/>
      <c r="W145" s="5"/>
      <c r="X145" s="5"/>
      <c r="Y145" s="6"/>
      <c r="Z145" s="5"/>
      <c r="AA145" s="5"/>
      <c r="AB145" s="5"/>
      <c r="AC145" s="5"/>
      <c r="AD145" s="5"/>
      <c r="AE145" s="5"/>
      <c r="AF145" s="6"/>
      <c r="AG145" s="6"/>
      <c r="AH145" s="6"/>
      <c r="AI145" s="5"/>
      <c r="AJ145" s="5"/>
    </row>
    <row r="146" ht="79.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6"/>
      <c r="Q146" s="5"/>
      <c r="R146" s="5"/>
      <c r="S146" s="5"/>
      <c r="T146" s="5"/>
      <c r="U146" s="5"/>
      <c r="V146" s="5"/>
      <c r="W146" s="5"/>
      <c r="X146" s="5"/>
      <c r="Y146" s="6"/>
      <c r="Z146" s="5"/>
      <c r="AA146" s="5"/>
      <c r="AB146" s="5"/>
      <c r="AC146" s="5"/>
      <c r="AD146" s="5"/>
      <c r="AE146" s="5"/>
      <c r="AF146" s="6"/>
      <c r="AG146" s="6"/>
      <c r="AH146" s="6"/>
      <c r="AI146" s="5"/>
      <c r="AJ146" s="5"/>
    </row>
    <row r="147" ht="79.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6"/>
      <c r="Q147" s="5"/>
      <c r="R147" s="5"/>
      <c r="S147" s="5"/>
      <c r="T147" s="5"/>
      <c r="U147" s="5"/>
      <c r="V147" s="5"/>
      <c r="W147" s="5"/>
      <c r="X147" s="5"/>
      <c r="Y147" s="6"/>
      <c r="Z147" s="5"/>
      <c r="AA147" s="5"/>
      <c r="AB147" s="5"/>
      <c r="AC147" s="5"/>
      <c r="AD147" s="5"/>
      <c r="AE147" s="5"/>
      <c r="AF147" s="6"/>
      <c r="AG147" s="6"/>
      <c r="AH147" s="6"/>
      <c r="AI147" s="5"/>
      <c r="AJ147" s="5"/>
    </row>
    <row r="148" ht="79.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6"/>
      <c r="Q148" s="5"/>
      <c r="R148" s="5"/>
      <c r="S148" s="5"/>
      <c r="T148" s="5"/>
      <c r="U148" s="5"/>
      <c r="V148" s="5"/>
      <c r="W148" s="5"/>
      <c r="X148" s="5"/>
      <c r="Y148" s="6"/>
      <c r="Z148" s="5"/>
      <c r="AA148" s="5"/>
      <c r="AB148" s="5"/>
      <c r="AC148" s="5"/>
      <c r="AD148" s="5"/>
      <c r="AE148" s="5"/>
      <c r="AF148" s="6"/>
      <c r="AG148" s="6"/>
      <c r="AH148" s="6"/>
      <c r="AI148" s="5"/>
      <c r="AJ148" s="5"/>
    </row>
    <row r="149" ht="79.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6"/>
      <c r="Q149" s="5"/>
      <c r="R149" s="5"/>
      <c r="S149" s="5"/>
      <c r="T149" s="5"/>
      <c r="U149" s="5"/>
      <c r="V149" s="5"/>
      <c r="W149" s="5"/>
      <c r="X149" s="5"/>
      <c r="Y149" s="6"/>
      <c r="Z149" s="5"/>
      <c r="AA149" s="5"/>
      <c r="AB149" s="5"/>
      <c r="AC149" s="5"/>
      <c r="AD149" s="5"/>
      <c r="AE149" s="5"/>
      <c r="AF149" s="6"/>
      <c r="AG149" s="6"/>
      <c r="AH149" s="6"/>
      <c r="AI149" s="5"/>
      <c r="AJ149" s="5"/>
    </row>
    <row r="150" ht="79.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6"/>
      <c r="Q150" s="5"/>
      <c r="R150" s="5"/>
      <c r="S150" s="5"/>
      <c r="T150" s="5"/>
      <c r="U150" s="5"/>
      <c r="V150" s="5"/>
      <c r="W150" s="5"/>
      <c r="X150" s="5"/>
      <c r="Y150" s="6"/>
      <c r="Z150" s="5"/>
      <c r="AA150" s="5"/>
      <c r="AB150" s="5"/>
      <c r="AC150" s="5"/>
      <c r="AD150" s="5"/>
      <c r="AE150" s="5"/>
      <c r="AF150" s="6"/>
      <c r="AG150" s="6"/>
      <c r="AH150" s="6"/>
      <c r="AI150" s="5"/>
      <c r="AJ150" s="5"/>
    </row>
    <row r="151" ht="79.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6"/>
      <c r="Q151" s="5"/>
      <c r="R151" s="5"/>
      <c r="S151" s="5"/>
      <c r="T151" s="5"/>
      <c r="U151" s="5"/>
      <c r="V151" s="5"/>
      <c r="W151" s="5"/>
      <c r="X151" s="5"/>
      <c r="Y151" s="6"/>
      <c r="Z151" s="5"/>
      <c r="AA151" s="5"/>
      <c r="AB151" s="5"/>
      <c r="AC151" s="5"/>
      <c r="AD151" s="5"/>
      <c r="AE151" s="5"/>
      <c r="AF151" s="6"/>
      <c r="AG151" s="6"/>
      <c r="AH151" s="6"/>
      <c r="AI151" s="5"/>
      <c r="AJ151" s="5"/>
    </row>
    <row r="152" ht="79.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6"/>
      <c r="Q152" s="5"/>
      <c r="R152" s="5"/>
      <c r="S152" s="5"/>
      <c r="T152" s="5"/>
      <c r="U152" s="5"/>
      <c r="V152" s="5"/>
      <c r="W152" s="5"/>
      <c r="X152" s="5"/>
      <c r="Y152" s="6"/>
      <c r="Z152" s="5"/>
      <c r="AA152" s="5"/>
      <c r="AB152" s="5"/>
      <c r="AC152" s="5"/>
      <c r="AD152" s="5"/>
      <c r="AE152" s="5"/>
      <c r="AF152" s="6"/>
      <c r="AG152" s="6"/>
      <c r="AH152" s="6"/>
      <c r="AI152" s="5"/>
      <c r="AJ152" s="5"/>
    </row>
    <row r="153" ht="79.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6"/>
      <c r="Q153" s="5"/>
      <c r="R153" s="5"/>
      <c r="S153" s="5"/>
      <c r="T153" s="5"/>
      <c r="U153" s="5"/>
      <c r="V153" s="5"/>
      <c r="W153" s="5"/>
      <c r="X153" s="5"/>
      <c r="Y153" s="6"/>
      <c r="Z153" s="5"/>
      <c r="AA153" s="5"/>
      <c r="AB153" s="5"/>
      <c r="AC153" s="5"/>
      <c r="AD153" s="5"/>
      <c r="AE153" s="5"/>
      <c r="AF153" s="6"/>
      <c r="AG153" s="6"/>
      <c r="AH153" s="6"/>
      <c r="AI153" s="5"/>
      <c r="AJ153" s="5"/>
    </row>
    <row r="154" ht="79.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6"/>
      <c r="Q154" s="5"/>
      <c r="R154" s="5"/>
      <c r="S154" s="5"/>
      <c r="T154" s="5"/>
      <c r="U154" s="5"/>
      <c r="V154" s="5"/>
      <c r="W154" s="5"/>
      <c r="X154" s="5"/>
      <c r="Y154" s="6"/>
      <c r="Z154" s="5"/>
      <c r="AA154" s="5"/>
      <c r="AB154" s="5"/>
      <c r="AC154" s="5"/>
      <c r="AD154" s="5"/>
      <c r="AE154" s="5"/>
      <c r="AF154" s="6"/>
      <c r="AG154" s="6"/>
      <c r="AH154" s="6"/>
      <c r="AI154" s="5"/>
      <c r="AJ154" s="5"/>
    </row>
    <row r="155" ht="79.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6"/>
      <c r="Q155" s="5"/>
      <c r="R155" s="5"/>
      <c r="S155" s="5"/>
      <c r="T155" s="5"/>
      <c r="U155" s="5"/>
      <c r="V155" s="5"/>
      <c r="W155" s="5"/>
      <c r="X155" s="5"/>
      <c r="Y155" s="6"/>
      <c r="Z155" s="5"/>
      <c r="AA155" s="5"/>
      <c r="AB155" s="5"/>
      <c r="AC155" s="5"/>
      <c r="AD155" s="5"/>
      <c r="AE155" s="5"/>
      <c r="AF155" s="6"/>
      <c r="AG155" s="6"/>
      <c r="AH155" s="6"/>
      <c r="AI155" s="5"/>
      <c r="AJ155" s="5"/>
    </row>
    <row r="156" ht="79.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6"/>
      <c r="Q156" s="5"/>
      <c r="R156" s="5"/>
      <c r="S156" s="5"/>
      <c r="T156" s="5"/>
      <c r="U156" s="5"/>
      <c r="V156" s="5"/>
      <c r="W156" s="5"/>
      <c r="X156" s="5"/>
      <c r="Y156" s="6"/>
      <c r="Z156" s="5"/>
      <c r="AA156" s="5"/>
      <c r="AB156" s="5"/>
      <c r="AC156" s="5"/>
      <c r="AD156" s="5"/>
      <c r="AE156" s="5"/>
      <c r="AF156" s="6"/>
      <c r="AG156" s="6"/>
      <c r="AH156" s="6"/>
      <c r="AI156" s="5"/>
      <c r="AJ156" s="5"/>
    </row>
    <row r="157" ht="79.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6"/>
      <c r="Q157" s="5"/>
      <c r="R157" s="5"/>
      <c r="S157" s="5"/>
      <c r="T157" s="5"/>
      <c r="U157" s="5"/>
      <c r="V157" s="5"/>
      <c r="W157" s="5"/>
      <c r="X157" s="5"/>
      <c r="Y157" s="6"/>
      <c r="Z157" s="5"/>
      <c r="AA157" s="5"/>
      <c r="AB157" s="5"/>
      <c r="AC157" s="5"/>
      <c r="AD157" s="5"/>
      <c r="AE157" s="5"/>
      <c r="AF157" s="6"/>
      <c r="AG157" s="6"/>
      <c r="AH157" s="6"/>
      <c r="AI157" s="5"/>
      <c r="AJ157" s="5"/>
    </row>
    <row r="158" ht="79.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6"/>
      <c r="Q158" s="5"/>
      <c r="R158" s="5"/>
      <c r="S158" s="5"/>
      <c r="T158" s="5"/>
      <c r="U158" s="5"/>
      <c r="V158" s="5"/>
      <c r="W158" s="5"/>
      <c r="X158" s="5"/>
      <c r="Y158" s="6"/>
      <c r="Z158" s="5"/>
      <c r="AA158" s="5"/>
      <c r="AB158" s="5"/>
      <c r="AC158" s="5"/>
      <c r="AD158" s="5"/>
      <c r="AE158" s="5"/>
      <c r="AF158" s="6"/>
      <c r="AG158" s="6"/>
      <c r="AH158" s="6"/>
      <c r="AI158" s="5"/>
      <c r="AJ158" s="5"/>
    </row>
    <row r="159" ht="79.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6"/>
      <c r="Q159" s="5"/>
      <c r="R159" s="5"/>
      <c r="S159" s="5"/>
      <c r="T159" s="5"/>
      <c r="U159" s="5"/>
      <c r="V159" s="5"/>
      <c r="W159" s="5"/>
      <c r="X159" s="5"/>
      <c r="Y159" s="6"/>
      <c r="Z159" s="5"/>
      <c r="AA159" s="5"/>
      <c r="AB159" s="5"/>
      <c r="AC159" s="5"/>
      <c r="AD159" s="5"/>
      <c r="AE159" s="5"/>
      <c r="AF159" s="6"/>
      <c r="AG159" s="6"/>
      <c r="AH159" s="6"/>
      <c r="AI159" s="5"/>
      <c r="AJ159" s="5"/>
    </row>
    <row r="160" ht="79.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6"/>
      <c r="Q160" s="5"/>
      <c r="R160" s="5"/>
      <c r="S160" s="5"/>
      <c r="T160" s="5"/>
      <c r="U160" s="5"/>
      <c r="V160" s="5"/>
      <c r="W160" s="5"/>
      <c r="X160" s="5"/>
      <c r="Y160" s="6"/>
      <c r="Z160" s="5"/>
      <c r="AA160" s="5"/>
      <c r="AB160" s="5"/>
      <c r="AC160" s="5"/>
      <c r="AD160" s="5"/>
      <c r="AE160" s="5"/>
      <c r="AF160" s="6"/>
      <c r="AG160" s="6"/>
      <c r="AH160" s="6"/>
      <c r="AI160" s="5"/>
      <c r="AJ160" s="5"/>
    </row>
    <row r="161" ht="79.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6"/>
      <c r="Q161" s="5"/>
      <c r="R161" s="5"/>
      <c r="S161" s="5"/>
      <c r="T161" s="5"/>
      <c r="U161" s="5"/>
      <c r="V161" s="5"/>
      <c r="W161" s="5"/>
      <c r="X161" s="5"/>
      <c r="Y161" s="6"/>
      <c r="Z161" s="5"/>
      <c r="AA161" s="5"/>
      <c r="AB161" s="5"/>
      <c r="AC161" s="5"/>
      <c r="AD161" s="5"/>
      <c r="AE161" s="5"/>
      <c r="AF161" s="6"/>
      <c r="AG161" s="6"/>
      <c r="AH161" s="6"/>
      <c r="AI161" s="5"/>
      <c r="AJ161" s="5"/>
    </row>
    <row r="162" ht="79.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6"/>
      <c r="Q162" s="5"/>
      <c r="R162" s="5"/>
      <c r="S162" s="5"/>
      <c r="T162" s="5"/>
      <c r="U162" s="5"/>
      <c r="V162" s="5"/>
      <c r="W162" s="5"/>
      <c r="X162" s="5"/>
      <c r="Y162" s="6"/>
      <c r="Z162" s="5"/>
      <c r="AA162" s="5"/>
      <c r="AB162" s="5"/>
      <c r="AC162" s="5"/>
      <c r="AD162" s="5"/>
      <c r="AE162" s="5"/>
      <c r="AF162" s="6"/>
      <c r="AG162" s="6"/>
      <c r="AH162" s="6"/>
      <c r="AI162" s="5"/>
      <c r="AJ162" s="5"/>
    </row>
    <row r="163" ht="79.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6"/>
      <c r="Q163" s="5"/>
      <c r="R163" s="5"/>
      <c r="S163" s="5"/>
      <c r="T163" s="5"/>
      <c r="U163" s="5"/>
      <c r="V163" s="5"/>
      <c r="W163" s="5"/>
      <c r="X163" s="5"/>
      <c r="Y163" s="6"/>
      <c r="Z163" s="5"/>
      <c r="AA163" s="5"/>
      <c r="AB163" s="5"/>
      <c r="AC163" s="5"/>
      <c r="AD163" s="5"/>
      <c r="AE163" s="5"/>
      <c r="AF163" s="6"/>
      <c r="AG163" s="6"/>
      <c r="AH163" s="6"/>
      <c r="AI163" s="5"/>
      <c r="AJ163" s="5"/>
    </row>
    <row r="164" ht="79.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6"/>
      <c r="Q164" s="5"/>
      <c r="R164" s="5"/>
      <c r="S164" s="5"/>
      <c r="T164" s="5"/>
      <c r="U164" s="5"/>
      <c r="V164" s="5"/>
      <c r="W164" s="5"/>
      <c r="X164" s="5"/>
      <c r="Y164" s="6"/>
      <c r="Z164" s="5"/>
      <c r="AA164" s="5"/>
      <c r="AB164" s="5"/>
      <c r="AC164" s="5"/>
      <c r="AD164" s="5"/>
      <c r="AE164" s="5"/>
      <c r="AF164" s="6"/>
      <c r="AG164" s="6"/>
      <c r="AH164" s="6"/>
      <c r="AI164" s="5"/>
      <c r="AJ164" s="5"/>
    </row>
    <row r="165" ht="79.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6"/>
      <c r="Q165" s="5"/>
      <c r="R165" s="5"/>
      <c r="S165" s="5"/>
      <c r="T165" s="5"/>
      <c r="U165" s="5"/>
      <c r="V165" s="5"/>
      <c r="W165" s="5"/>
      <c r="X165" s="5"/>
      <c r="Y165" s="6"/>
      <c r="Z165" s="5"/>
      <c r="AA165" s="5"/>
      <c r="AB165" s="5"/>
      <c r="AC165" s="5"/>
      <c r="AD165" s="5"/>
      <c r="AE165" s="5"/>
      <c r="AF165" s="6"/>
      <c r="AG165" s="6"/>
      <c r="AH165" s="6"/>
      <c r="AI165" s="5"/>
      <c r="AJ165" s="5"/>
    </row>
    <row r="166" ht="79.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6"/>
      <c r="Q166" s="5"/>
      <c r="R166" s="5"/>
      <c r="S166" s="5"/>
      <c r="T166" s="5"/>
      <c r="U166" s="5"/>
      <c r="V166" s="5"/>
      <c r="W166" s="5"/>
      <c r="X166" s="5"/>
      <c r="Y166" s="6"/>
      <c r="Z166" s="5"/>
      <c r="AA166" s="5"/>
      <c r="AB166" s="5"/>
      <c r="AC166" s="5"/>
      <c r="AD166" s="5"/>
      <c r="AE166" s="5"/>
      <c r="AF166" s="6"/>
      <c r="AG166" s="6"/>
      <c r="AH166" s="6"/>
      <c r="AI166" s="5"/>
      <c r="AJ166" s="5"/>
    </row>
    <row r="167" ht="79.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6"/>
      <c r="Q167" s="5"/>
      <c r="R167" s="5"/>
      <c r="S167" s="5"/>
      <c r="T167" s="5"/>
      <c r="U167" s="5"/>
      <c r="V167" s="5"/>
      <c r="W167" s="5"/>
      <c r="X167" s="5"/>
      <c r="Y167" s="6"/>
      <c r="Z167" s="5"/>
      <c r="AA167" s="5"/>
      <c r="AB167" s="5"/>
      <c r="AC167" s="5"/>
      <c r="AD167" s="5"/>
      <c r="AE167" s="5"/>
      <c r="AF167" s="6"/>
      <c r="AG167" s="6"/>
      <c r="AH167" s="6"/>
      <c r="AI167" s="5"/>
      <c r="AJ167" s="5"/>
    </row>
    <row r="168" ht="79.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6"/>
      <c r="Q168" s="5"/>
      <c r="R168" s="5"/>
      <c r="S168" s="5"/>
      <c r="T168" s="5"/>
      <c r="U168" s="5"/>
      <c r="V168" s="5"/>
      <c r="W168" s="5"/>
      <c r="X168" s="5"/>
      <c r="Y168" s="6"/>
      <c r="Z168" s="5"/>
      <c r="AA168" s="5"/>
      <c r="AB168" s="5"/>
      <c r="AC168" s="5"/>
      <c r="AD168" s="5"/>
      <c r="AE168" s="5"/>
      <c r="AF168" s="6"/>
      <c r="AG168" s="6"/>
      <c r="AH168" s="6"/>
      <c r="AI168" s="5"/>
      <c r="AJ168" s="5"/>
    </row>
    <row r="169" ht="79.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6"/>
      <c r="Q169" s="5"/>
      <c r="R169" s="5"/>
      <c r="S169" s="5"/>
      <c r="T169" s="5"/>
      <c r="U169" s="5"/>
      <c r="V169" s="5"/>
      <c r="W169" s="5"/>
      <c r="X169" s="5"/>
      <c r="Y169" s="6"/>
      <c r="Z169" s="5"/>
      <c r="AA169" s="5"/>
      <c r="AB169" s="5"/>
      <c r="AC169" s="5"/>
      <c r="AD169" s="5"/>
      <c r="AE169" s="5"/>
      <c r="AF169" s="6"/>
      <c r="AG169" s="6"/>
      <c r="AH169" s="6"/>
      <c r="AI169" s="5"/>
      <c r="AJ169" s="5"/>
    </row>
    <row r="170" ht="79.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6"/>
      <c r="Q170" s="5"/>
      <c r="R170" s="5"/>
      <c r="S170" s="5"/>
      <c r="T170" s="5"/>
      <c r="U170" s="5"/>
      <c r="V170" s="5"/>
      <c r="W170" s="5"/>
      <c r="X170" s="5"/>
      <c r="Y170" s="6"/>
      <c r="Z170" s="5"/>
      <c r="AA170" s="5"/>
      <c r="AB170" s="5"/>
      <c r="AC170" s="5"/>
      <c r="AD170" s="5"/>
      <c r="AE170" s="5"/>
      <c r="AF170" s="6"/>
      <c r="AG170" s="6"/>
      <c r="AH170" s="6"/>
      <c r="AI170" s="5"/>
      <c r="AJ170" s="5"/>
    </row>
    <row r="171" ht="79.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6"/>
      <c r="Q171" s="5"/>
      <c r="R171" s="5"/>
      <c r="S171" s="5"/>
      <c r="T171" s="5"/>
      <c r="U171" s="5"/>
      <c r="V171" s="5"/>
      <c r="W171" s="5"/>
      <c r="X171" s="5"/>
      <c r="Y171" s="6"/>
      <c r="Z171" s="5"/>
      <c r="AA171" s="5"/>
      <c r="AB171" s="5"/>
      <c r="AC171" s="5"/>
      <c r="AD171" s="5"/>
      <c r="AE171" s="5"/>
      <c r="AF171" s="6"/>
      <c r="AG171" s="6"/>
      <c r="AH171" s="6"/>
      <c r="AI171" s="5"/>
      <c r="AJ171" s="5"/>
    </row>
    <row r="172" ht="79.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6"/>
      <c r="Q172" s="5"/>
      <c r="R172" s="5"/>
      <c r="S172" s="5"/>
      <c r="T172" s="5"/>
      <c r="U172" s="5"/>
      <c r="V172" s="5"/>
      <c r="W172" s="5"/>
      <c r="X172" s="5"/>
      <c r="Y172" s="6"/>
      <c r="Z172" s="5"/>
      <c r="AA172" s="5"/>
      <c r="AB172" s="5"/>
      <c r="AC172" s="5"/>
      <c r="AD172" s="5"/>
      <c r="AE172" s="5"/>
      <c r="AF172" s="6"/>
      <c r="AG172" s="6"/>
      <c r="AH172" s="6"/>
      <c r="AI172" s="5"/>
      <c r="AJ172" s="5"/>
    </row>
    <row r="173" ht="79.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6"/>
      <c r="Q173" s="5"/>
      <c r="R173" s="5"/>
      <c r="S173" s="5"/>
      <c r="T173" s="5"/>
      <c r="U173" s="5"/>
      <c r="V173" s="5"/>
      <c r="W173" s="5"/>
      <c r="X173" s="5"/>
      <c r="Y173" s="6"/>
      <c r="Z173" s="5"/>
      <c r="AA173" s="5"/>
      <c r="AB173" s="5"/>
      <c r="AC173" s="5"/>
      <c r="AD173" s="5"/>
      <c r="AE173" s="5"/>
      <c r="AF173" s="6"/>
      <c r="AG173" s="6"/>
      <c r="AH173" s="6"/>
      <c r="AI173" s="5"/>
      <c r="AJ173" s="5"/>
    </row>
    <row r="174" ht="79.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6"/>
      <c r="Q174" s="5"/>
      <c r="R174" s="5"/>
      <c r="S174" s="5"/>
      <c r="T174" s="5"/>
      <c r="U174" s="5"/>
      <c r="V174" s="5"/>
      <c r="W174" s="5"/>
      <c r="X174" s="5"/>
      <c r="Y174" s="6"/>
      <c r="Z174" s="5"/>
      <c r="AA174" s="5"/>
      <c r="AB174" s="5"/>
      <c r="AC174" s="5"/>
      <c r="AD174" s="5"/>
      <c r="AE174" s="5"/>
      <c r="AF174" s="6"/>
      <c r="AG174" s="6"/>
      <c r="AH174" s="6"/>
      <c r="AI174" s="5"/>
      <c r="AJ174" s="5"/>
    </row>
    <row r="175" ht="79.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6"/>
      <c r="Q175" s="5"/>
      <c r="R175" s="5"/>
      <c r="S175" s="5"/>
      <c r="T175" s="5"/>
      <c r="U175" s="5"/>
      <c r="V175" s="5"/>
      <c r="W175" s="5"/>
      <c r="X175" s="5"/>
      <c r="Y175" s="6"/>
      <c r="Z175" s="5"/>
      <c r="AA175" s="5"/>
      <c r="AB175" s="5"/>
      <c r="AC175" s="5"/>
      <c r="AD175" s="5"/>
      <c r="AE175" s="5"/>
      <c r="AF175" s="6"/>
      <c r="AG175" s="6"/>
      <c r="AH175" s="6"/>
      <c r="AI175" s="5"/>
      <c r="AJ175" s="5"/>
    </row>
    <row r="176" ht="79.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6"/>
      <c r="Q176" s="5"/>
      <c r="R176" s="5"/>
      <c r="S176" s="5"/>
      <c r="T176" s="5"/>
      <c r="U176" s="5"/>
      <c r="V176" s="5"/>
      <c r="W176" s="5"/>
      <c r="X176" s="5"/>
      <c r="Y176" s="6"/>
      <c r="Z176" s="5"/>
      <c r="AA176" s="5"/>
      <c r="AB176" s="5"/>
      <c r="AC176" s="5"/>
      <c r="AD176" s="5"/>
      <c r="AE176" s="5"/>
      <c r="AF176" s="6"/>
      <c r="AG176" s="6"/>
      <c r="AH176" s="6"/>
      <c r="AI176" s="5"/>
      <c r="AJ176" s="5"/>
    </row>
    <row r="177" ht="79.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6"/>
      <c r="Q177" s="5"/>
      <c r="R177" s="5"/>
      <c r="S177" s="5"/>
      <c r="T177" s="5"/>
      <c r="U177" s="5"/>
      <c r="V177" s="5"/>
      <c r="W177" s="5"/>
      <c r="X177" s="5"/>
      <c r="Y177" s="6"/>
      <c r="Z177" s="5"/>
      <c r="AA177" s="5"/>
      <c r="AB177" s="5"/>
      <c r="AC177" s="5"/>
      <c r="AD177" s="5"/>
      <c r="AE177" s="5"/>
      <c r="AF177" s="6"/>
      <c r="AG177" s="6"/>
      <c r="AH177" s="6"/>
      <c r="AI177" s="5"/>
      <c r="AJ177" s="5"/>
    </row>
    <row r="178" ht="79.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6"/>
      <c r="Q178" s="5"/>
      <c r="R178" s="5"/>
      <c r="S178" s="5"/>
      <c r="T178" s="5"/>
      <c r="U178" s="5"/>
      <c r="V178" s="5"/>
      <c r="W178" s="5"/>
      <c r="X178" s="5"/>
      <c r="Y178" s="6"/>
      <c r="Z178" s="5"/>
      <c r="AA178" s="5"/>
      <c r="AB178" s="5"/>
      <c r="AC178" s="5"/>
      <c r="AD178" s="5"/>
      <c r="AE178" s="5"/>
      <c r="AF178" s="6"/>
      <c r="AG178" s="6"/>
      <c r="AH178" s="6"/>
      <c r="AI178" s="5"/>
      <c r="AJ178" s="5"/>
    </row>
    <row r="179" ht="79.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6"/>
      <c r="Q179" s="5"/>
      <c r="R179" s="5"/>
      <c r="S179" s="5"/>
      <c r="T179" s="5"/>
      <c r="U179" s="5"/>
      <c r="V179" s="5"/>
      <c r="W179" s="5"/>
      <c r="X179" s="5"/>
      <c r="Y179" s="6"/>
      <c r="Z179" s="5"/>
      <c r="AA179" s="5"/>
      <c r="AB179" s="5"/>
      <c r="AC179" s="5"/>
      <c r="AD179" s="5"/>
      <c r="AE179" s="5"/>
      <c r="AF179" s="6"/>
      <c r="AG179" s="6"/>
      <c r="AH179" s="6"/>
      <c r="AI179" s="5"/>
      <c r="AJ179" s="5"/>
    </row>
    <row r="180" ht="79.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6"/>
      <c r="Q180" s="5"/>
      <c r="R180" s="5"/>
      <c r="S180" s="5"/>
      <c r="T180" s="5"/>
      <c r="U180" s="5"/>
      <c r="V180" s="5"/>
      <c r="W180" s="5"/>
      <c r="X180" s="5"/>
      <c r="Y180" s="6"/>
      <c r="Z180" s="5"/>
      <c r="AA180" s="5"/>
      <c r="AB180" s="5"/>
      <c r="AC180" s="5"/>
      <c r="AD180" s="5"/>
      <c r="AE180" s="5"/>
      <c r="AF180" s="6"/>
      <c r="AG180" s="6"/>
      <c r="AH180" s="6"/>
      <c r="AI180" s="5"/>
      <c r="AJ180" s="5"/>
    </row>
    <row r="181" ht="79.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6"/>
      <c r="Q181" s="5"/>
      <c r="R181" s="5"/>
      <c r="S181" s="5"/>
      <c r="T181" s="5"/>
      <c r="U181" s="5"/>
      <c r="V181" s="5"/>
      <c r="W181" s="5"/>
      <c r="X181" s="5"/>
      <c r="Y181" s="6"/>
      <c r="Z181" s="5"/>
      <c r="AA181" s="5"/>
      <c r="AB181" s="5"/>
      <c r="AC181" s="5"/>
      <c r="AD181" s="5"/>
      <c r="AE181" s="5"/>
      <c r="AF181" s="6"/>
      <c r="AG181" s="6"/>
      <c r="AH181" s="6"/>
      <c r="AI181" s="5"/>
      <c r="AJ181" s="5"/>
    </row>
    <row r="182" ht="79.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6"/>
      <c r="Q182" s="5"/>
      <c r="R182" s="5"/>
      <c r="S182" s="5"/>
      <c r="T182" s="5"/>
      <c r="U182" s="5"/>
      <c r="V182" s="5"/>
      <c r="W182" s="5"/>
      <c r="X182" s="5"/>
      <c r="Y182" s="6"/>
      <c r="Z182" s="5"/>
      <c r="AA182" s="5"/>
      <c r="AB182" s="5"/>
      <c r="AC182" s="5"/>
      <c r="AD182" s="5"/>
      <c r="AE182" s="5"/>
      <c r="AF182" s="6"/>
      <c r="AG182" s="6"/>
      <c r="AH182" s="6"/>
      <c r="AI182" s="5"/>
      <c r="AJ182" s="5"/>
    </row>
    <row r="183" ht="79.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6"/>
      <c r="Q183" s="5"/>
      <c r="R183" s="5"/>
      <c r="S183" s="5"/>
      <c r="T183" s="5"/>
      <c r="U183" s="5"/>
      <c r="V183" s="5"/>
      <c r="W183" s="5"/>
      <c r="X183" s="5"/>
      <c r="Y183" s="6"/>
      <c r="Z183" s="5"/>
      <c r="AA183" s="5"/>
      <c r="AB183" s="5"/>
      <c r="AC183" s="5"/>
      <c r="AD183" s="5"/>
      <c r="AE183" s="5"/>
      <c r="AF183" s="6"/>
      <c r="AG183" s="6"/>
      <c r="AH183" s="6"/>
      <c r="AI183" s="5"/>
      <c r="AJ183" s="5"/>
    </row>
    <row r="184" ht="79.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6"/>
      <c r="Q184" s="5"/>
      <c r="R184" s="5"/>
      <c r="S184" s="5"/>
      <c r="T184" s="5"/>
      <c r="U184" s="5"/>
      <c r="V184" s="5"/>
      <c r="W184" s="5"/>
      <c r="X184" s="5"/>
      <c r="Y184" s="6"/>
      <c r="Z184" s="5"/>
      <c r="AA184" s="5"/>
      <c r="AB184" s="5"/>
      <c r="AC184" s="5"/>
      <c r="AD184" s="5"/>
      <c r="AE184" s="5"/>
      <c r="AF184" s="6"/>
      <c r="AG184" s="6"/>
      <c r="AH184" s="6"/>
      <c r="AI184" s="5"/>
      <c r="AJ184" s="5"/>
    </row>
    <row r="185" ht="79.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6"/>
      <c r="Q185" s="5"/>
      <c r="R185" s="5"/>
      <c r="S185" s="5"/>
      <c r="T185" s="5"/>
      <c r="U185" s="5"/>
      <c r="V185" s="5"/>
      <c r="W185" s="5"/>
      <c r="X185" s="5"/>
      <c r="Y185" s="6"/>
      <c r="Z185" s="5"/>
      <c r="AA185" s="5"/>
      <c r="AB185" s="5"/>
      <c r="AC185" s="5"/>
      <c r="AD185" s="5"/>
      <c r="AE185" s="5"/>
      <c r="AF185" s="6"/>
      <c r="AG185" s="6"/>
      <c r="AH185" s="6"/>
      <c r="AI185" s="5"/>
      <c r="AJ185" s="5"/>
    </row>
    <row r="186" ht="79.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6"/>
      <c r="Q186" s="5"/>
      <c r="R186" s="5"/>
      <c r="S186" s="5"/>
      <c r="T186" s="5"/>
      <c r="U186" s="5"/>
      <c r="V186" s="5"/>
      <c r="W186" s="5"/>
      <c r="X186" s="5"/>
      <c r="Y186" s="6"/>
      <c r="Z186" s="5"/>
      <c r="AA186" s="5"/>
      <c r="AB186" s="5"/>
      <c r="AC186" s="5"/>
      <c r="AD186" s="5"/>
      <c r="AE186" s="5"/>
      <c r="AF186" s="6"/>
      <c r="AG186" s="6"/>
      <c r="AH186" s="6"/>
      <c r="AI186" s="5"/>
      <c r="AJ186" s="5"/>
    </row>
    <row r="187" ht="79.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6"/>
      <c r="Q187" s="5"/>
      <c r="R187" s="5"/>
      <c r="S187" s="5"/>
      <c r="T187" s="5"/>
      <c r="U187" s="5"/>
      <c r="V187" s="5"/>
      <c r="W187" s="5"/>
      <c r="X187" s="5"/>
      <c r="Y187" s="6"/>
      <c r="Z187" s="5"/>
      <c r="AA187" s="5"/>
      <c r="AB187" s="5"/>
      <c r="AC187" s="5"/>
      <c r="AD187" s="5"/>
      <c r="AE187" s="5"/>
      <c r="AF187" s="6"/>
      <c r="AG187" s="6"/>
      <c r="AH187" s="6"/>
      <c r="AI187" s="5"/>
      <c r="AJ187" s="5"/>
    </row>
    <row r="188" ht="79.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6"/>
      <c r="Q188" s="5"/>
      <c r="R188" s="5"/>
      <c r="S188" s="5"/>
      <c r="T188" s="5"/>
      <c r="U188" s="5"/>
      <c r="V188" s="5"/>
      <c r="W188" s="5"/>
      <c r="X188" s="5"/>
      <c r="Y188" s="6"/>
      <c r="Z188" s="5"/>
      <c r="AA188" s="5"/>
      <c r="AB188" s="5"/>
      <c r="AC188" s="5"/>
      <c r="AD188" s="5"/>
      <c r="AE188" s="5"/>
      <c r="AF188" s="6"/>
      <c r="AG188" s="6"/>
      <c r="AH188" s="6"/>
      <c r="AI188" s="5"/>
      <c r="AJ188" s="5"/>
    </row>
    <row r="189" ht="79.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6"/>
      <c r="Q189" s="5"/>
      <c r="R189" s="5"/>
      <c r="S189" s="5"/>
      <c r="T189" s="5"/>
      <c r="U189" s="5"/>
      <c r="V189" s="5"/>
      <c r="W189" s="5"/>
      <c r="X189" s="5"/>
      <c r="Y189" s="6"/>
      <c r="Z189" s="5"/>
      <c r="AA189" s="5"/>
      <c r="AB189" s="5"/>
      <c r="AC189" s="5"/>
      <c r="AD189" s="5"/>
      <c r="AE189" s="5"/>
      <c r="AF189" s="6"/>
      <c r="AG189" s="6"/>
      <c r="AH189" s="6"/>
      <c r="AI189" s="5"/>
      <c r="AJ189" s="5"/>
    </row>
    <row r="190" ht="79.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6"/>
      <c r="Q190" s="5"/>
      <c r="R190" s="5"/>
      <c r="S190" s="5"/>
      <c r="T190" s="5"/>
      <c r="U190" s="5"/>
      <c r="V190" s="5"/>
      <c r="W190" s="5"/>
      <c r="X190" s="5"/>
      <c r="Y190" s="6"/>
      <c r="Z190" s="5"/>
      <c r="AA190" s="5"/>
      <c r="AB190" s="5"/>
      <c r="AC190" s="5"/>
      <c r="AD190" s="5"/>
      <c r="AE190" s="5"/>
      <c r="AF190" s="6"/>
      <c r="AG190" s="6"/>
      <c r="AH190" s="6"/>
      <c r="AI190" s="5"/>
      <c r="AJ190" s="5"/>
    </row>
    <row r="191" ht="79.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6"/>
      <c r="Q191" s="5"/>
      <c r="R191" s="5"/>
      <c r="S191" s="5"/>
      <c r="T191" s="5"/>
      <c r="U191" s="5"/>
      <c r="V191" s="5"/>
      <c r="W191" s="5"/>
      <c r="X191" s="5"/>
      <c r="Y191" s="6"/>
      <c r="Z191" s="5"/>
      <c r="AA191" s="5"/>
      <c r="AB191" s="5"/>
      <c r="AC191" s="5"/>
      <c r="AD191" s="5"/>
      <c r="AE191" s="5"/>
      <c r="AF191" s="6"/>
      <c r="AG191" s="6"/>
      <c r="AH191" s="6"/>
      <c r="AI191" s="5"/>
      <c r="AJ191" s="5"/>
    </row>
    <row r="192" ht="79.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6"/>
      <c r="Q192" s="5"/>
      <c r="R192" s="5"/>
      <c r="S192" s="5"/>
      <c r="T192" s="5"/>
      <c r="U192" s="5"/>
      <c r="V192" s="5"/>
      <c r="W192" s="5"/>
      <c r="X192" s="5"/>
      <c r="Y192" s="6"/>
      <c r="Z192" s="5"/>
      <c r="AA192" s="5"/>
      <c r="AB192" s="5"/>
      <c r="AC192" s="5"/>
      <c r="AD192" s="5"/>
      <c r="AE192" s="5"/>
      <c r="AF192" s="6"/>
      <c r="AG192" s="6"/>
      <c r="AH192" s="6"/>
      <c r="AI192" s="5"/>
      <c r="AJ192" s="5"/>
    </row>
    <row r="193" ht="79.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6"/>
      <c r="Q193" s="5"/>
      <c r="R193" s="5"/>
      <c r="S193" s="5"/>
      <c r="T193" s="5"/>
      <c r="U193" s="5"/>
      <c r="V193" s="5"/>
      <c r="W193" s="5"/>
      <c r="X193" s="5"/>
      <c r="Y193" s="6"/>
      <c r="Z193" s="5"/>
      <c r="AA193" s="5"/>
      <c r="AB193" s="5"/>
      <c r="AC193" s="5"/>
      <c r="AD193" s="5"/>
      <c r="AE193" s="5"/>
      <c r="AF193" s="6"/>
      <c r="AG193" s="6"/>
      <c r="AH193" s="6"/>
      <c r="AI193" s="5"/>
      <c r="AJ193" s="5"/>
    </row>
    <row r="194" ht="79.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6"/>
      <c r="Q194" s="5"/>
      <c r="R194" s="5"/>
      <c r="S194" s="5"/>
      <c r="T194" s="5"/>
      <c r="U194" s="5"/>
      <c r="V194" s="5"/>
      <c r="W194" s="5"/>
      <c r="X194" s="5"/>
      <c r="Y194" s="6"/>
      <c r="Z194" s="5"/>
      <c r="AA194" s="5"/>
      <c r="AB194" s="5"/>
      <c r="AC194" s="5"/>
      <c r="AD194" s="5"/>
      <c r="AE194" s="5"/>
      <c r="AF194" s="6"/>
      <c r="AG194" s="6"/>
      <c r="AH194" s="6"/>
      <c r="AI194" s="5"/>
      <c r="AJ194" s="5"/>
    </row>
    <row r="195" ht="79.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6"/>
      <c r="Q195" s="5"/>
      <c r="R195" s="5"/>
      <c r="S195" s="5"/>
      <c r="T195" s="5"/>
      <c r="U195" s="5"/>
      <c r="V195" s="5"/>
      <c r="W195" s="5"/>
      <c r="X195" s="5"/>
      <c r="Y195" s="6"/>
      <c r="Z195" s="5"/>
      <c r="AA195" s="5"/>
      <c r="AB195" s="5"/>
      <c r="AC195" s="5"/>
      <c r="AD195" s="5"/>
      <c r="AE195" s="5"/>
      <c r="AF195" s="6"/>
      <c r="AG195" s="6"/>
      <c r="AH195" s="6"/>
      <c r="AI195" s="5"/>
      <c r="AJ195" s="5"/>
    </row>
    <row r="196" ht="79.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6"/>
      <c r="Q196" s="5"/>
      <c r="R196" s="5"/>
      <c r="S196" s="5"/>
      <c r="T196" s="5"/>
      <c r="U196" s="5"/>
      <c r="V196" s="5"/>
      <c r="W196" s="5"/>
      <c r="X196" s="5"/>
      <c r="Y196" s="6"/>
      <c r="Z196" s="5"/>
      <c r="AA196" s="5"/>
      <c r="AB196" s="5"/>
      <c r="AC196" s="5"/>
      <c r="AD196" s="5"/>
      <c r="AE196" s="5"/>
      <c r="AF196" s="6"/>
      <c r="AG196" s="6"/>
      <c r="AH196" s="6"/>
      <c r="AI196" s="5"/>
      <c r="AJ196" s="5"/>
    </row>
    <row r="197" ht="79.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6"/>
      <c r="Q197" s="5"/>
      <c r="R197" s="5"/>
      <c r="S197" s="5"/>
      <c r="T197" s="5"/>
      <c r="U197" s="5"/>
      <c r="V197" s="5"/>
      <c r="W197" s="5"/>
      <c r="X197" s="5"/>
      <c r="Y197" s="6"/>
      <c r="Z197" s="5"/>
      <c r="AA197" s="5"/>
      <c r="AB197" s="5"/>
      <c r="AC197" s="5"/>
      <c r="AD197" s="5"/>
      <c r="AE197" s="5"/>
      <c r="AF197" s="6"/>
      <c r="AG197" s="6"/>
      <c r="AH197" s="6"/>
      <c r="AI197" s="5"/>
      <c r="AJ197" s="5"/>
    </row>
    <row r="198" ht="79.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6"/>
      <c r="Q198" s="5"/>
      <c r="R198" s="5"/>
      <c r="S198" s="5"/>
      <c r="T198" s="5"/>
      <c r="U198" s="5"/>
      <c r="V198" s="5"/>
      <c r="W198" s="5"/>
      <c r="X198" s="5"/>
      <c r="Y198" s="6"/>
      <c r="Z198" s="5"/>
      <c r="AA198" s="5"/>
      <c r="AB198" s="5"/>
      <c r="AC198" s="5"/>
      <c r="AD198" s="5"/>
      <c r="AE198" s="5"/>
      <c r="AF198" s="6"/>
      <c r="AG198" s="6"/>
      <c r="AH198" s="6"/>
      <c r="AI198" s="5"/>
      <c r="AJ198" s="5"/>
    </row>
    <row r="199" ht="79.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6"/>
      <c r="Q199" s="5"/>
      <c r="R199" s="5"/>
      <c r="S199" s="5"/>
      <c r="T199" s="5"/>
      <c r="U199" s="5"/>
      <c r="V199" s="5"/>
      <c r="W199" s="5"/>
      <c r="X199" s="5"/>
      <c r="Y199" s="6"/>
      <c r="Z199" s="5"/>
      <c r="AA199" s="5"/>
      <c r="AB199" s="5"/>
      <c r="AC199" s="5"/>
      <c r="AD199" s="5"/>
      <c r="AE199" s="5"/>
      <c r="AF199" s="6"/>
      <c r="AG199" s="6"/>
      <c r="AH199" s="6"/>
      <c r="AI199" s="5"/>
      <c r="AJ199" s="5"/>
    </row>
    <row r="200" ht="79.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6"/>
      <c r="Q200" s="5"/>
      <c r="R200" s="5"/>
      <c r="S200" s="5"/>
      <c r="T200" s="5"/>
      <c r="U200" s="5"/>
      <c r="V200" s="5"/>
      <c r="W200" s="5"/>
      <c r="X200" s="5"/>
      <c r="Y200" s="6"/>
      <c r="Z200" s="5"/>
      <c r="AA200" s="5"/>
      <c r="AB200" s="5"/>
      <c r="AC200" s="5"/>
      <c r="AD200" s="5"/>
      <c r="AE200" s="5"/>
      <c r="AF200" s="6"/>
      <c r="AG200" s="6"/>
      <c r="AH200" s="6"/>
      <c r="AI200" s="5"/>
      <c r="AJ200" s="5"/>
    </row>
    <row r="201" ht="79.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6"/>
      <c r="Q201" s="5"/>
      <c r="R201" s="5"/>
      <c r="S201" s="5"/>
      <c r="T201" s="5"/>
      <c r="U201" s="5"/>
      <c r="V201" s="5"/>
      <c r="W201" s="5"/>
      <c r="X201" s="5"/>
      <c r="Y201" s="6"/>
      <c r="Z201" s="5"/>
      <c r="AA201" s="5"/>
      <c r="AB201" s="5"/>
      <c r="AC201" s="5"/>
      <c r="AD201" s="5"/>
      <c r="AE201" s="5"/>
      <c r="AF201" s="6"/>
      <c r="AG201" s="6"/>
      <c r="AH201" s="6"/>
      <c r="AI201" s="5"/>
      <c r="AJ201" s="5"/>
    </row>
    <row r="202" ht="79.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6"/>
      <c r="Q202" s="5"/>
      <c r="R202" s="5"/>
      <c r="S202" s="5"/>
      <c r="T202" s="5"/>
      <c r="U202" s="5"/>
      <c r="V202" s="5"/>
      <c r="W202" s="5"/>
      <c r="X202" s="5"/>
      <c r="Y202" s="6"/>
      <c r="Z202" s="5"/>
      <c r="AA202" s="5"/>
      <c r="AB202" s="5"/>
      <c r="AC202" s="5"/>
      <c r="AD202" s="5"/>
      <c r="AE202" s="5"/>
      <c r="AF202" s="6"/>
      <c r="AG202" s="6"/>
      <c r="AH202" s="6"/>
      <c r="AI202" s="5"/>
      <c r="AJ202" s="5"/>
    </row>
    <row r="203" ht="79.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6"/>
      <c r="Q203" s="5"/>
      <c r="R203" s="5"/>
      <c r="S203" s="5"/>
      <c r="T203" s="5"/>
      <c r="U203" s="5"/>
      <c r="V203" s="5"/>
      <c r="W203" s="5"/>
      <c r="X203" s="5"/>
      <c r="Y203" s="6"/>
      <c r="Z203" s="5"/>
      <c r="AA203" s="5"/>
      <c r="AB203" s="5"/>
      <c r="AC203" s="5"/>
      <c r="AD203" s="5"/>
      <c r="AE203" s="5"/>
      <c r="AF203" s="6"/>
      <c r="AG203" s="6"/>
      <c r="AH203" s="6"/>
      <c r="AI203" s="5"/>
      <c r="AJ203" s="5"/>
    </row>
    <row r="204" ht="79.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6"/>
      <c r="Q204" s="5"/>
      <c r="R204" s="5"/>
      <c r="S204" s="5"/>
      <c r="T204" s="5"/>
      <c r="U204" s="5"/>
      <c r="V204" s="5"/>
      <c r="W204" s="5"/>
      <c r="X204" s="5"/>
      <c r="Y204" s="6"/>
      <c r="Z204" s="5"/>
      <c r="AA204" s="5"/>
      <c r="AB204" s="5"/>
      <c r="AC204" s="5"/>
      <c r="AD204" s="5"/>
      <c r="AE204" s="5"/>
      <c r="AF204" s="6"/>
      <c r="AG204" s="6"/>
      <c r="AH204" s="6"/>
      <c r="AI204" s="5"/>
      <c r="AJ204" s="5"/>
    </row>
    <row r="205" ht="79.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6"/>
      <c r="Q205" s="5"/>
      <c r="R205" s="5"/>
      <c r="S205" s="5"/>
      <c r="T205" s="5"/>
      <c r="U205" s="5"/>
      <c r="V205" s="5"/>
      <c r="W205" s="5"/>
      <c r="X205" s="5"/>
      <c r="Y205" s="6"/>
      <c r="Z205" s="5"/>
      <c r="AA205" s="5"/>
      <c r="AB205" s="5"/>
      <c r="AC205" s="5"/>
      <c r="AD205" s="5"/>
      <c r="AE205" s="5"/>
      <c r="AF205" s="6"/>
      <c r="AG205" s="6"/>
      <c r="AH205" s="6"/>
      <c r="AI205" s="5"/>
      <c r="AJ205" s="5"/>
    </row>
    <row r="206" ht="79.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6"/>
      <c r="Q206" s="5"/>
      <c r="R206" s="5"/>
      <c r="S206" s="5"/>
      <c r="T206" s="5"/>
      <c r="U206" s="5"/>
      <c r="V206" s="5"/>
      <c r="W206" s="5"/>
      <c r="X206" s="5"/>
      <c r="Y206" s="6"/>
      <c r="Z206" s="5"/>
      <c r="AA206" s="5"/>
      <c r="AB206" s="5"/>
      <c r="AC206" s="5"/>
      <c r="AD206" s="5"/>
      <c r="AE206" s="5"/>
      <c r="AF206" s="6"/>
      <c r="AG206" s="6"/>
      <c r="AH206" s="6"/>
      <c r="AI206" s="5"/>
      <c r="AJ206" s="5"/>
    </row>
    <row r="207" ht="79.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6"/>
      <c r="Q207" s="5"/>
      <c r="R207" s="5"/>
      <c r="S207" s="5"/>
      <c r="T207" s="5"/>
      <c r="U207" s="5"/>
      <c r="V207" s="5"/>
      <c r="W207" s="5"/>
      <c r="X207" s="5"/>
      <c r="Y207" s="6"/>
      <c r="Z207" s="5"/>
      <c r="AA207" s="5"/>
      <c r="AB207" s="5"/>
      <c r="AC207" s="5"/>
      <c r="AD207" s="5"/>
      <c r="AE207" s="5"/>
      <c r="AF207" s="6"/>
      <c r="AG207" s="6"/>
      <c r="AH207" s="6"/>
      <c r="AI207" s="5"/>
      <c r="AJ207" s="5"/>
    </row>
    <row r="208" ht="79.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6"/>
      <c r="Q208" s="5"/>
      <c r="R208" s="5"/>
      <c r="S208" s="5"/>
      <c r="T208" s="5"/>
      <c r="U208" s="5"/>
      <c r="V208" s="5"/>
      <c r="W208" s="5"/>
      <c r="X208" s="5"/>
      <c r="Y208" s="6"/>
      <c r="Z208" s="5"/>
      <c r="AA208" s="5"/>
      <c r="AB208" s="5"/>
      <c r="AC208" s="5"/>
      <c r="AD208" s="5"/>
      <c r="AE208" s="5"/>
      <c r="AF208" s="6"/>
      <c r="AG208" s="6"/>
      <c r="AH208" s="6"/>
      <c r="AI208" s="5"/>
      <c r="AJ208" s="5"/>
    </row>
    <row r="209" ht="79.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6"/>
      <c r="Q209" s="5"/>
      <c r="R209" s="5"/>
      <c r="S209" s="5"/>
      <c r="T209" s="5"/>
      <c r="U209" s="5"/>
      <c r="V209" s="5"/>
      <c r="W209" s="5"/>
      <c r="X209" s="5"/>
      <c r="Y209" s="6"/>
      <c r="Z209" s="5"/>
      <c r="AA209" s="5"/>
      <c r="AB209" s="5"/>
      <c r="AC209" s="5"/>
      <c r="AD209" s="5"/>
      <c r="AE209" s="5"/>
      <c r="AF209" s="6"/>
      <c r="AG209" s="6"/>
      <c r="AH209" s="6"/>
      <c r="AI209" s="5"/>
      <c r="AJ209" s="5"/>
    </row>
    <row r="210" ht="79.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6"/>
      <c r="Q210" s="5"/>
      <c r="R210" s="5"/>
      <c r="S210" s="5"/>
      <c r="T210" s="5"/>
      <c r="U210" s="5"/>
      <c r="V210" s="5"/>
      <c r="W210" s="5"/>
      <c r="X210" s="5"/>
      <c r="Y210" s="6"/>
      <c r="Z210" s="5"/>
      <c r="AA210" s="5"/>
      <c r="AB210" s="5"/>
      <c r="AC210" s="5"/>
      <c r="AD210" s="5"/>
      <c r="AE210" s="5"/>
      <c r="AF210" s="6"/>
      <c r="AG210" s="6"/>
      <c r="AH210" s="6"/>
      <c r="AI210" s="5"/>
      <c r="AJ210" s="5"/>
    </row>
    <row r="211" ht="79.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6"/>
      <c r="Q211" s="5"/>
      <c r="R211" s="5"/>
      <c r="S211" s="5"/>
      <c r="T211" s="5"/>
      <c r="U211" s="5"/>
      <c r="V211" s="5"/>
      <c r="W211" s="5"/>
      <c r="X211" s="5"/>
      <c r="Y211" s="6"/>
      <c r="Z211" s="5"/>
      <c r="AA211" s="5"/>
      <c r="AB211" s="5"/>
      <c r="AC211" s="5"/>
      <c r="AD211" s="5"/>
      <c r="AE211" s="5"/>
      <c r="AF211" s="6"/>
      <c r="AG211" s="6"/>
      <c r="AH211" s="6"/>
      <c r="AI211" s="5"/>
      <c r="AJ211" s="5"/>
    </row>
    <row r="212" ht="79.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6"/>
      <c r="Q212" s="5"/>
      <c r="R212" s="5"/>
      <c r="S212" s="5"/>
      <c r="T212" s="5"/>
      <c r="U212" s="5"/>
      <c r="V212" s="5"/>
      <c r="W212" s="5"/>
      <c r="X212" s="5"/>
      <c r="Y212" s="6"/>
      <c r="Z212" s="5"/>
      <c r="AA212" s="5"/>
      <c r="AB212" s="5"/>
      <c r="AC212" s="5"/>
      <c r="AD212" s="5"/>
      <c r="AE212" s="5"/>
      <c r="AF212" s="6"/>
      <c r="AG212" s="6"/>
      <c r="AH212" s="6"/>
      <c r="AI212" s="5"/>
      <c r="AJ212" s="5"/>
    </row>
    <row r="213" ht="79.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6"/>
      <c r="Q213" s="5"/>
      <c r="R213" s="5"/>
      <c r="S213" s="5"/>
      <c r="T213" s="5"/>
      <c r="U213" s="5"/>
      <c r="V213" s="5"/>
      <c r="W213" s="5"/>
      <c r="X213" s="5"/>
      <c r="Y213" s="6"/>
      <c r="Z213" s="5"/>
      <c r="AA213" s="5"/>
      <c r="AB213" s="5"/>
      <c r="AC213" s="5"/>
      <c r="AD213" s="5"/>
      <c r="AE213" s="5"/>
      <c r="AF213" s="6"/>
      <c r="AG213" s="6"/>
      <c r="AH213" s="6"/>
      <c r="AI213" s="5"/>
      <c r="AJ213" s="5"/>
    </row>
    <row r="214" ht="79.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6"/>
      <c r="Q214" s="5"/>
      <c r="R214" s="5"/>
      <c r="S214" s="5"/>
      <c r="T214" s="5"/>
      <c r="U214" s="5"/>
      <c r="V214" s="5"/>
      <c r="W214" s="5"/>
      <c r="X214" s="5"/>
      <c r="Y214" s="6"/>
      <c r="Z214" s="5"/>
      <c r="AA214" s="5"/>
      <c r="AB214" s="5"/>
      <c r="AC214" s="5"/>
      <c r="AD214" s="5"/>
      <c r="AE214" s="5"/>
      <c r="AF214" s="6"/>
      <c r="AG214" s="6"/>
      <c r="AH214" s="6"/>
      <c r="AI214" s="5"/>
      <c r="AJ214" s="5"/>
    </row>
    <row r="215" ht="79.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6"/>
      <c r="Q215" s="5"/>
      <c r="R215" s="5"/>
      <c r="S215" s="5"/>
      <c r="T215" s="5"/>
      <c r="U215" s="5"/>
      <c r="V215" s="5"/>
      <c r="W215" s="5"/>
      <c r="X215" s="5"/>
      <c r="Y215" s="6"/>
      <c r="Z215" s="5"/>
      <c r="AA215" s="5"/>
      <c r="AB215" s="5"/>
      <c r="AC215" s="5"/>
      <c r="AD215" s="5"/>
      <c r="AE215" s="5"/>
      <c r="AF215" s="6"/>
      <c r="AG215" s="6"/>
      <c r="AH215" s="6"/>
      <c r="AI215" s="5"/>
      <c r="AJ215" s="5"/>
    </row>
    <row r="216" ht="79.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6"/>
      <c r="Q216" s="5"/>
      <c r="R216" s="5"/>
      <c r="S216" s="5"/>
      <c r="T216" s="5"/>
      <c r="U216" s="5"/>
      <c r="V216" s="5"/>
      <c r="W216" s="5"/>
      <c r="X216" s="5"/>
      <c r="Y216" s="6"/>
      <c r="Z216" s="5"/>
      <c r="AA216" s="5"/>
      <c r="AB216" s="5"/>
      <c r="AC216" s="5"/>
      <c r="AD216" s="5"/>
      <c r="AE216" s="5"/>
      <c r="AF216" s="6"/>
      <c r="AG216" s="6"/>
      <c r="AH216" s="6"/>
      <c r="AI216" s="5"/>
      <c r="AJ216" s="5"/>
    </row>
    <row r="217" ht="79.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6"/>
      <c r="Q217" s="5"/>
      <c r="R217" s="5"/>
      <c r="S217" s="5"/>
      <c r="T217" s="5"/>
      <c r="U217" s="5"/>
      <c r="V217" s="5"/>
      <c r="W217" s="5"/>
      <c r="X217" s="5"/>
      <c r="Y217" s="6"/>
      <c r="Z217" s="5"/>
      <c r="AA217" s="5"/>
      <c r="AB217" s="5"/>
      <c r="AC217" s="5"/>
      <c r="AD217" s="5"/>
      <c r="AE217" s="5"/>
      <c r="AF217" s="6"/>
      <c r="AG217" s="6"/>
      <c r="AH217" s="6"/>
      <c r="AI217" s="5"/>
      <c r="AJ217" s="5"/>
    </row>
    <row r="218" ht="79.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6"/>
      <c r="Q218" s="5"/>
      <c r="R218" s="5"/>
      <c r="S218" s="5"/>
      <c r="T218" s="5"/>
      <c r="U218" s="5"/>
      <c r="V218" s="5"/>
      <c r="W218" s="5"/>
      <c r="X218" s="5"/>
      <c r="Y218" s="6"/>
      <c r="Z218" s="5"/>
      <c r="AA218" s="5"/>
      <c r="AB218" s="5"/>
      <c r="AC218" s="5"/>
      <c r="AD218" s="5"/>
      <c r="AE218" s="5"/>
      <c r="AF218" s="6"/>
      <c r="AG218" s="6"/>
      <c r="AH218" s="6"/>
      <c r="AI218" s="5"/>
      <c r="AJ218" s="5"/>
    </row>
    <row r="219" ht="79.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6"/>
      <c r="Q219" s="5"/>
      <c r="R219" s="5"/>
      <c r="S219" s="5"/>
      <c r="T219" s="5"/>
      <c r="U219" s="5"/>
      <c r="V219" s="5"/>
      <c r="W219" s="5"/>
      <c r="X219" s="5"/>
      <c r="Y219" s="6"/>
      <c r="Z219" s="5"/>
      <c r="AA219" s="5"/>
      <c r="AB219" s="5"/>
      <c r="AC219" s="5"/>
      <c r="AD219" s="5"/>
      <c r="AE219" s="5"/>
      <c r="AF219" s="6"/>
      <c r="AG219" s="6"/>
      <c r="AH219" s="6"/>
      <c r="AI219" s="5"/>
      <c r="AJ219" s="5"/>
    </row>
    <row r="220" ht="79.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6"/>
      <c r="Q220" s="5"/>
      <c r="R220" s="5"/>
      <c r="S220" s="5"/>
      <c r="T220" s="5"/>
      <c r="U220" s="5"/>
      <c r="V220" s="5"/>
      <c r="W220" s="5"/>
      <c r="X220" s="5"/>
      <c r="Y220" s="6"/>
      <c r="Z220" s="5"/>
      <c r="AA220" s="5"/>
      <c r="AB220" s="5"/>
      <c r="AC220" s="5"/>
      <c r="AD220" s="5"/>
      <c r="AE220" s="5"/>
      <c r="AF220" s="6"/>
      <c r="AG220" s="6"/>
      <c r="AH220" s="6"/>
      <c r="AI220" s="5"/>
      <c r="AJ220" s="5"/>
    </row>
    <row r="221" ht="79.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6"/>
      <c r="Q221" s="5"/>
      <c r="R221" s="5"/>
      <c r="S221" s="5"/>
      <c r="T221" s="5"/>
      <c r="U221" s="5"/>
      <c r="V221" s="5"/>
      <c r="W221" s="5"/>
      <c r="X221" s="5"/>
      <c r="Y221" s="6"/>
      <c r="Z221" s="5"/>
      <c r="AA221" s="5"/>
      <c r="AB221" s="5"/>
      <c r="AC221" s="5"/>
      <c r="AD221" s="5"/>
      <c r="AE221" s="5"/>
      <c r="AF221" s="6"/>
      <c r="AG221" s="6"/>
      <c r="AH221" s="6"/>
      <c r="AI221" s="5"/>
      <c r="AJ221" s="5"/>
    </row>
    <row r="222" ht="79.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6"/>
      <c r="Q222" s="5"/>
      <c r="R222" s="5"/>
      <c r="S222" s="5"/>
      <c r="T222" s="5"/>
      <c r="U222" s="5"/>
      <c r="V222" s="5"/>
      <c r="W222" s="5"/>
      <c r="X222" s="5"/>
      <c r="Y222" s="6"/>
      <c r="Z222" s="5"/>
      <c r="AA222" s="5"/>
      <c r="AB222" s="5"/>
      <c r="AC222" s="5"/>
      <c r="AD222" s="5"/>
      <c r="AE222" s="5"/>
      <c r="AF222" s="6"/>
      <c r="AG222" s="6"/>
      <c r="AH222" s="6"/>
      <c r="AI222" s="5"/>
      <c r="AJ222" s="5"/>
    </row>
    <row r="223" ht="79.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6"/>
      <c r="Q223" s="5"/>
      <c r="R223" s="5"/>
      <c r="S223" s="5"/>
      <c r="T223" s="5"/>
      <c r="U223" s="5"/>
      <c r="V223" s="5"/>
      <c r="W223" s="5"/>
      <c r="X223" s="5"/>
      <c r="Y223" s="6"/>
      <c r="Z223" s="5"/>
      <c r="AA223" s="5"/>
      <c r="AB223" s="5"/>
      <c r="AC223" s="5"/>
      <c r="AD223" s="5"/>
      <c r="AE223" s="5"/>
      <c r="AF223" s="6"/>
      <c r="AG223" s="6"/>
      <c r="AH223" s="6"/>
      <c r="AI223" s="5"/>
      <c r="AJ223" s="5"/>
    </row>
    <row r="224" ht="79.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6"/>
      <c r="Q224" s="5"/>
      <c r="R224" s="5"/>
      <c r="S224" s="5"/>
      <c r="T224" s="5"/>
      <c r="U224" s="5"/>
      <c r="V224" s="5"/>
      <c r="W224" s="5"/>
      <c r="X224" s="5"/>
      <c r="Y224" s="6"/>
      <c r="Z224" s="5"/>
      <c r="AA224" s="5"/>
      <c r="AB224" s="5"/>
      <c r="AC224" s="5"/>
      <c r="AD224" s="5"/>
      <c r="AE224" s="5"/>
      <c r="AF224" s="6"/>
      <c r="AG224" s="6"/>
      <c r="AH224" s="6"/>
      <c r="AI224" s="5"/>
      <c r="AJ224" s="5"/>
    </row>
    <row r="225" ht="79.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6"/>
      <c r="Q225" s="5"/>
      <c r="R225" s="5"/>
      <c r="S225" s="5"/>
      <c r="T225" s="5"/>
      <c r="U225" s="5"/>
      <c r="V225" s="5"/>
      <c r="W225" s="5"/>
      <c r="X225" s="5"/>
      <c r="Y225" s="6"/>
      <c r="Z225" s="5"/>
      <c r="AA225" s="5"/>
      <c r="AB225" s="5"/>
      <c r="AC225" s="5"/>
      <c r="AD225" s="5"/>
      <c r="AE225" s="5"/>
      <c r="AF225" s="6"/>
      <c r="AG225" s="6"/>
      <c r="AH225" s="6"/>
      <c r="AI225" s="5"/>
      <c r="AJ225" s="5"/>
    </row>
    <row r="226" ht="79.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6"/>
      <c r="Q226" s="5"/>
      <c r="R226" s="5"/>
      <c r="S226" s="5"/>
      <c r="T226" s="5"/>
      <c r="U226" s="5"/>
      <c r="V226" s="5"/>
      <c r="W226" s="5"/>
      <c r="X226" s="5"/>
      <c r="Y226" s="6"/>
      <c r="Z226" s="5"/>
      <c r="AA226" s="5"/>
      <c r="AB226" s="5"/>
      <c r="AC226" s="5"/>
      <c r="AD226" s="5"/>
      <c r="AE226" s="5"/>
      <c r="AF226" s="6"/>
      <c r="AG226" s="6"/>
      <c r="AH226" s="6"/>
      <c r="AI226" s="5"/>
      <c r="AJ226" s="5"/>
    </row>
    <row r="227" ht="79.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6"/>
      <c r="Q227" s="5"/>
      <c r="R227" s="5"/>
      <c r="S227" s="5"/>
      <c r="T227" s="5"/>
      <c r="U227" s="5"/>
      <c r="V227" s="5"/>
      <c r="W227" s="5"/>
      <c r="X227" s="5"/>
      <c r="Y227" s="6"/>
      <c r="Z227" s="5"/>
      <c r="AA227" s="5"/>
      <c r="AB227" s="5"/>
      <c r="AC227" s="5"/>
      <c r="AD227" s="5"/>
      <c r="AE227" s="5"/>
      <c r="AF227" s="6"/>
      <c r="AG227" s="6"/>
      <c r="AH227" s="6"/>
      <c r="AI227" s="5"/>
      <c r="AJ227" s="5"/>
    </row>
    <row r="228" ht="79.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6"/>
      <c r="Q228" s="5"/>
      <c r="R228" s="5"/>
      <c r="S228" s="5"/>
      <c r="T228" s="5"/>
      <c r="U228" s="5"/>
      <c r="V228" s="5"/>
      <c r="W228" s="5"/>
      <c r="X228" s="5"/>
      <c r="Y228" s="6"/>
      <c r="Z228" s="5"/>
      <c r="AA228" s="5"/>
      <c r="AB228" s="5"/>
      <c r="AC228" s="5"/>
      <c r="AD228" s="5"/>
      <c r="AE228" s="5"/>
      <c r="AF228" s="6"/>
      <c r="AG228" s="6"/>
      <c r="AH228" s="6"/>
      <c r="AI228" s="5"/>
      <c r="AJ228" s="5"/>
    </row>
    <row r="229" ht="79.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6"/>
      <c r="Q229" s="5"/>
      <c r="R229" s="5"/>
      <c r="S229" s="5"/>
      <c r="T229" s="5"/>
      <c r="U229" s="5"/>
      <c r="V229" s="5"/>
      <c r="W229" s="5"/>
      <c r="X229" s="5"/>
      <c r="Y229" s="6"/>
      <c r="Z229" s="5"/>
      <c r="AA229" s="5"/>
      <c r="AB229" s="5"/>
      <c r="AC229" s="5"/>
      <c r="AD229" s="5"/>
      <c r="AE229" s="5"/>
      <c r="AF229" s="6"/>
      <c r="AG229" s="6"/>
      <c r="AH229" s="6"/>
      <c r="AI229" s="5"/>
      <c r="AJ229" s="5"/>
    </row>
    <row r="230" ht="79.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6"/>
      <c r="Q230" s="5"/>
      <c r="R230" s="5"/>
      <c r="S230" s="5"/>
      <c r="T230" s="5"/>
      <c r="U230" s="5"/>
      <c r="V230" s="5"/>
      <c r="W230" s="5"/>
      <c r="X230" s="5"/>
      <c r="Y230" s="6"/>
      <c r="Z230" s="5"/>
      <c r="AA230" s="5"/>
      <c r="AB230" s="5"/>
      <c r="AC230" s="5"/>
      <c r="AD230" s="5"/>
      <c r="AE230" s="5"/>
      <c r="AF230" s="6"/>
      <c r="AG230" s="6"/>
      <c r="AH230" s="6"/>
      <c r="AI230" s="5"/>
      <c r="AJ230" s="5"/>
    </row>
    <row r="231" ht="79.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6"/>
      <c r="Q231" s="5"/>
      <c r="R231" s="5"/>
      <c r="S231" s="5"/>
      <c r="T231" s="5"/>
      <c r="U231" s="5"/>
      <c r="V231" s="5"/>
      <c r="W231" s="5"/>
      <c r="X231" s="5"/>
      <c r="Y231" s="6"/>
      <c r="Z231" s="5"/>
      <c r="AA231" s="5"/>
      <c r="AB231" s="5"/>
      <c r="AC231" s="5"/>
      <c r="AD231" s="5"/>
      <c r="AE231" s="5"/>
      <c r="AF231" s="6"/>
      <c r="AG231" s="6"/>
      <c r="AH231" s="6"/>
      <c r="AI231" s="5"/>
      <c r="AJ231" s="5"/>
    </row>
    <row r="232" ht="79.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6"/>
      <c r="Q232" s="5"/>
      <c r="R232" s="5"/>
      <c r="S232" s="5"/>
      <c r="T232" s="5"/>
      <c r="U232" s="5"/>
      <c r="V232" s="5"/>
      <c r="W232" s="5"/>
      <c r="X232" s="5"/>
      <c r="Y232" s="6"/>
      <c r="Z232" s="5"/>
      <c r="AA232" s="5"/>
      <c r="AB232" s="5"/>
      <c r="AC232" s="5"/>
      <c r="AD232" s="5"/>
      <c r="AE232" s="5"/>
      <c r="AF232" s="6"/>
      <c r="AG232" s="6"/>
      <c r="AH232" s="6"/>
      <c r="AI232" s="5"/>
      <c r="AJ232" s="5"/>
    </row>
    <row r="233" ht="79.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6"/>
      <c r="Q233" s="5"/>
      <c r="R233" s="5"/>
      <c r="S233" s="5"/>
      <c r="T233" s="5"/>
      <c r="U233" s="5"/>
      <c r="V233" s="5"/>
      <c r="W233" s="5"/>
      <c r="X233" s="5"/>
      <c r="Y233" s="6"/>
      <c r="Z233" s="5"/>
      <c r="AA233" s="5"/>
      <c r="AB233" s="5"/>
      <c r="AC233" s="5"/>
      <c r="AD233" s="5"/>
      <c r="AE233" s="5"/>
      <c r="AF233" s="6"/>
      <c r="AG233" s="6"/>
      <c r="AH233" s="6"/>
      <c r="AI233" s="5"/>
      <c r="AJ233" s="5"/>
    </row>
    <row r="234" ht="79.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6"/>
      <c r="Q234" s="5"/>
      <c r="R234" s="5"/>
      <c r="S234" s="5"/>
      <c r="T234" s="5"/>
      <c r="U234" s="5"/>
      <c r="V234" s="5"/>
      <c r="W234" s="5"/>
      <c r="X234" s="5"/>
      <c r="Y234" s="6"/>
      <c r="Z234" s="5"/>
      <c r="AA234" s="5"/>
      <c r="AB234" s="5"/>
      <c r="AC234" s="5"/>
      <c r="AD234" s="5"/>
      <c r="AE234" s="5"/>
      <c r="AF234" s="6"/>
      <c r="AG234" s="6"/>
      <c r="AH234" s="6"/>
      <c r="AI234" s="5"/>
      <c r="AJ234" s="5"/>
    </row>
    <row r="235" ht="79.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6"/>
      <c r="Q235" s="5"/>
      <c r="R235" s="5"/>
      <c r="S235" s="5"/>
      <c r="T235" s="5"/>
      <c r="U235" s="5"/>
      <c r="V235" s="5"/>
      <c r="W235" s="5"/>
      <c r="X235" s="5"/>
      <c r="Y235" s="6"/>
      <c r="Z235" s="5"/>
      <c r="AA235" s="5"/>
      <c r="AB235" s="5"/>
      <c r="AC235" s="5"/>
      <c r="AD235" s="5"/>
      <c r="AE235" s="5"/>
      <c r="AF235" s="6"/>
      <c r="AG235" s="6"/>
      <c r="AH235" s="6"/>
      <c r="AI235" s="5"/>
      <c r="AJ235" s="5"/>
    </row>
    <row r="236" ht="79.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6"/>
      <c r="Q236" s="5"/>
      <c r="R236" s="5"/>
      <c r="S236" s="5"/>
      <c r="T236" s="5"/>
      <c r="U236" s="5"/>
      <c r="V236" s="5"/>
      <c r="W236" s="5"/>
      <c r="X236" s="5"/>
      <c r="Y236" s="6"/>
      <c r="Z236" s="5"/>
      <c r="AA236" s="5"/>
      <c r="AB236" s="5"/>
      <c r="AC236" s="5"/>
      <c r="AD236" s="5"/>
      <c r="AE236" s="5"/>
      <c r="AF236" s="6"/>
      <c r="AG236" s="6"/>
      <c r="AH236" s="6"/>
      <c r="AI236" s="5"/>
      <c r="AJ236" s="5"/>
    </row>
    <row r="237" ht="79.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6"/>
      <c r="Q237" s="5"/>
      <c r="R237" s="5"/>
      <c r="S237" s="5"/>
      <c r="T237" s="5"/>
      <c r="U237" s="5"/>
      <c r="V237" s="5"/>
      <c r="W237" s="5"/>
      <c r="X237" s="5"/>
      <c r="Y237" s="6"/>
      <c r="Z237" s="5"/>
      <c r="AA237" s="5"/>
      <c r="AB237" s="5"/>
      <c r="AC237" s="5"/>
      <c r="AD237" s="5"/>
      <c r="AE237" s="5"/>
      <c r="AF237" s="6"/>
      <c r="AG237" s="6"/>
      <c r="AH237" s="6"/>
      <c r="AI237" s="5"/>
      <c r="AJ237" s="5"/>
    </row>
    <row r="238" ht="79.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6"/>
      <c r="Q238" s="5"/>
      <c r="R238" s="5"/>
      <c r="S238" s="5"/>
      <c r="T238" s="5"/>
      <c r="U238" s="5"/>
      <c r="V238" s="5"/>
      <c r="W238" s="5"/>
      <c r="X238" s="5"/>
      <c r="Y238" s="6"/>
      <c r="Z238" s="5"/>
      <c r="AA238" s="5"/>
      <c r="AB238" s="5"/>
      <c r="AC238" s="5"/>
      <c r="AD238" s="5"/>
      <c r="AE238" s="5"/>
      <c r="AF238" s="6"/>
      <c r="AG238" s="6"/>
      <c r="AH238" s="6"/>
      <c r="AI238" s="5"/>
      <c r="AJ238" s="5"/>
    </row>
    <row r="239" ht="79.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6"/>
      <c r="Q239" s="5"/>
      <c r="R239" s="5"/>
      <c r="S239" s="5"/>
      <c r="T239" s="5"/>
      <c r="U239" s="5"/>
      <c r="V239" s="5"/>
      <c r="W239" s="5"/>
      <c r="X239" s="5"/>
      <c r="Y239" s="6"/>
      <c r="Z239" s="5"/>
      <c r="AA239" s="5"/>
      <c r="AB239" s="5"/>
      <c r="AC239" s="5"/>
      <c r="AD239" s="5"/>
      <c r="AE239" s="5"/>
      <c r="AF239" s="6"/>
      <c r="AG239" s="6"/>
      <c r="AH239" s="6"/>
      <c r="AI239" s="5"/>
      <c r="AJ239" s="5"/>
    </row>
    <row r="240" ht="79.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6"/>
      <c r="Q240" s="5"/>
      <c r="R240" s="5"/>
      <c r="S240" s="5"/>
      <c r="T240" s="5"/>
      <c r="U240" s="5"/>
      <c r="V240" s="5"/>
      <c r="W240" s="5"/>
      <c r="X240" s="5"/>
      <c r="Y240" s="6"/>
      <c r="Z240" s="5"/>
      <c r="AA240" s="5"/>
      <c r="AB240" s="5"/>
      <c r="AC240" s="5"/>
      <c r="AD240" s="5"/>
      <c r="AE240" s="5"/>
      <c r="AF240" s="6"/>
      <c r="AG240" s="6"/>
      <c r="AH240" s="6"/>
      <c r="AI240" s="5"/>
      <c r="AJ240" s="5"/>
    </row>
    <row r="241" ht="79.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6"/>
      <c r="Q241" s="5"/>
      <c r="R241" s="5"/>
      <c r="S241" s="5"/>
      <c r="T241" s="5"/>
      <c r="U241" s="5"/>
      <c r="V241" s="5"/>
      <c r="W241" s="5"/>
      <c r="X241" s="5"/>
      <c r="Y241" s="6"/>
      <c r="Z241" s="5"/>
      <c r="AA241" s="5"/>
      <c r="AB241" s="5"/>
      <c r="AC241" s="5"/>
      <c r="AD241" s="5"/>
      <c r="AE241" s="5"/>
      <c r="AF241" s="6"/>
      <c r="AG241" s="6"/>
      <c r="AH241" s="6"/>
      <c r="AI241" s="5"/>
      <c r="AJ241" s="5"/>
    </row>
    <row r="242" ht="79.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6"/>
      <c r="Q242" s="5"/>
      <c r="R242" s="5"/>
      <c r="S242" s="5"/>
      <c r="T242" s="5"/>
      <c r="U242" s="5"/>
      <c r="V242" s="5"/>
      <c r="W242" s="5"/>
      <c r="X242" s="5"/>
      <c r="Y242" s="6"/>
      <c r="Z242" s="5"/>
      <c r="AA242" s="5"/>
      <c r="AB242" s="5"/>
      <c r="AC242" s="5"/>
      <c r="AD242" s="5"/>
      <c r="AE242" s="5"/>
      <c r="AF242" s="6"/>
      <c r="AG242" s="6"/>
      <c r="AH242" s="6"/>
      <c r="AI242" s="5"/>
      <c r="AJ242" s="5"/>
    </row>
    <row r="243" ht="79.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6"/>
      <c r="Q243" s="5"/>
      <c r="R243" s="5"/>
      <c r="S243" s="5"/>
      <c r="T243" s="5"/>
      <c r="U243" s="5"/>
      <c r="V243" s="5"/>
      <c r="W243" s="5"/>
      <c r="X243" s="5"/>
      <c r="Y243" s="6"/>
      <c r="Z243" s="5"/>
      <c r="AA243" s="5"/>
      <c r="AB243" s="5"/>
      <c r="AC243" s="5"/>
      <c r="AD243" s="5"/>
      <c r="AE243" s="5"/>
      <c r="AF243" s="6"/>
      <c r="AG243" s="6"/>
      <c r="AH243" s="6"/>
      <c r="AI243" s="5"/>
      <c r="AJ243" s="5"/>
    </row>
    <row r="244" ht="79.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6"/>
      <c r="Q244" s="5"/>
      <c r="R244" s="5"/>
      <c r="S244" s="5"/>
      <c r="T244" s="5"/>
      <c r="U244" s="5"/>
      <c r="V244" s="5"/>
      <c r="W244" s="5"/>
      <c r="X244" s="5"/>
      <c r="Y244" s="6"/>
      <c r="Z244" s="5"/>
      <c r="AA244" s="5"/>
      <c r="AB244" s="5"/>
      <c r="AC244" s="5"/>
      <c r="AD244" s="5"/>
      <c r="AE244" s="5"/>
      <c r="AF244" s="6"/>
      <c r="AG244" s="6"/>
      <c r="AH244" s="6"/>
      <c r="AI244" s="5"/>
      <c r="AJ244" s="5"/>
    </row>
    <row r="245" ht="79.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6"/>
      <c r="Q245" s="5"/>
      <c r="R245" s="5"/>
      <c r="S245" s="5"/>
      <c r="T245" s="5"/>
      <c r="U245" s="5"/>
      <c r="V245" s="5"/>
      <c r="W245" s="5"/>
      <c r="X245" s="5"/>
      <c r="Y245" s="6"/>
      <c r="Z245" s="5"/>
      <c r="AA245" s="5"/>
      <c r="AB245" s="5"/>
      <c r="AC245" s="5"/>
      <c r="AD245" s="5"/>
      <c r="AE245" s="5"/>
      <c r="AF245" s="6"/>
      <c r="AG245" s="6"/>
      <c r="AH245" s="6"/>
      <c r="AI245" s="5"/>
      <c r="AJ245" s="5"/>
    </row>
    <row r="246" ht="79.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6"/>
      <c r="Q246" s="5"/>
      <c r="R246" s="5"/>
      <c r="S246" s="5"/>
      <c r="T246" s="5"/>
      <c r="U246" s="5"/>
      <c r="V246" s="5"/>
      <c r="W246" s="5"/>
      <c r="X246" s="5"/>
      <c r="Y246" s="6"/>
      <c r="Z246" s="5"/>
      <c r="AA246" s="5"/>
      <c r="AB246" s="5"/>
      <c r="AC246" s="5"/>
      <c r="AD246" s="5"/>
      <c r="AE246" s="5"/>
      <c r="AF246" s="6"/>
      <c r="AG246" s="6"/>
      <c r="AH246" s="6"/>
      <c r="AI246" s="5"/>
      <c r="AJ246" s="5"/>
    </row>
    <row r="247" ht="79.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6"/>
      <c r="Q247" s="5"/>
      <c r="R247" s="5"/>
      <c r="S247" s="5"/>
      <c r="T247" s="5"/>
      <c r="U247" s="5"/>
      <c r="V247" s="5"/>
      <c r="W247" s="5"/>
      <c r="X247" s="5"/>
      <c r="Y247" s="6"/>
      <c r="Z247" s="5"/>
      <c r="AA247" s="5"/>
      <c r="AB247" s="5"/>
      <c r="AC247" s="5"/>
      <c r="AD247" s="5"/>
      <c r="AE247" s="5"/>
      <c r="AF247" s="6"/>
      <c r="AG247" s="6"/>
      <c r="AH247" s="6"/>
      <c r="AI247" s="5"/>
      <c r="AJ247" s="5"/>
    </row>
    <row r="248" ht="79.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6"/>
      <c r="Q248" s="5"/>
      <c r="R248" s="5"/>
      <c r="S248" s="5"/>
      <c r="T248" s="5"/>
      <c r="U248" s="5"/>
      <c r="V248" s="5"/>
      <c r="W248" s="5"/>
      <c r="X248" s="5"/>
      <c r="Y248" s="6"/>
      <c r="Z248" s="5"/>
      <c r="AA248" s="5"/>
      <c r="AB248" s="5"/>
      <c r="AC248" s="5"/>
      <c r="AD248" s="5"/>
      <c r="AE248" s="5"/>
      <c r="AF248" s="6"/>
      <c r="AG248" s="6"/>
      <c r="AH248" s="6"/>
      <c r="AI248" s="5"/>
      <c r="AJ248" s="5"/>
    </row>
    <row r="249" ht="79.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6"/>
      <c r="Q249" s="5"/>
      <c r="R249" s="5"/>
      <c r="S249" s="5"/>
      <c r="T249" s="5"/>
      <c r="U249" s="5"/>
      <c r="V249" s="5"/>
      <c r="W249" s="5"/>
      <c r="X249" s="5"/>
      <c r="Y249" s="6"/>
      <c r="Z249" s="5"/>
      <c r="AA249" s="5"/>
      <c r="AB249" s="5"/>
      <c r="AC249" s="5"/>
      <c r="AD249" s="5"/>
      <c r="AE249" s="5"/>
      <c r="AF249" s="6"/>
      <c r="AG249" s="6"/>
      <c r="AH249" s="6"/>
      <c r="AI249" s="5"/>
      <c r="AJ249" s="5"/>
    </row>
    <row r="250" ht="79.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6"/>
      <c r="Q250" s="5"/>
      <c r="R250" s="5"/>
      <c r="S250" s="5"/>
      <c r="T250" s="5"/>
      <c r="U250" s="5"/>
      <c r="V250" s="5"/>
      <c r="W250" s="5"/>
      <c r="X250" s="5"/>
      <c r="Y250" s="6"/>
      <c r="Z250" s="5"/>
      <c r="AA250" s="5"/>
      <c r="AB250" s="5"/>
      <c r="AC250" s="5"/>
      <c r="AD250" s="5"/>
      <c r="AE250" s="5"/>
      <c r="AF250" s="6"/>
      <c r="AG250" s="6"/>
      <c r="AH250" s="6"/>
      <c r="AI250" s="5"/>
      <c r="AJ250" s="5"/>
    </row>
    <row r="251" ht="79.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6"/>
      <c r="Q251" s="5"/>
      <c r="R251" s="5"/>
      <c r="S251" s="5"/>
      <c r="T251" s="5"/>
      <c r="U251" s="5"/>
      <c r="V251" s="5"/>
      <c r="W251" s="5"/>
      <c r="X251" s="5"/>
      <c r="Y251" s="6"/>
      <c r="Z251" s="5"/>
      <c r="AA251" s="5"/>
      <c r="AB251" s="5"/>
      <c r="AC251" s="5"/>
      <c r="AD251" s="5"/>
      <c r="AE251" s="5"/>
      <c r="AF251" s="6"/>
      <c r="AG251" s="6"/>
      <c r="AH251" s="6"/>
      <c r="AI251" s="5"/>
      <c r="AJ251" s="5"/>
    </row>
    <row r="252" ht="79.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6"/>
      <c r="Q252" s="5"/>
      <c r="R252" s="5"/>
      <c r="S252" s="5"/>
      <c r="T252" s="5"/>
      <c r="U252" s="5"/>
      <c r="V252" s="5"/>
      <c r="W252" s="5"/>
      <c r="X252" s="5"/>
      <c r="Y252" s="6"/>
      <c r="Z252" s="5"/>
      <c r="AA252" s="5"/>
      <c r="AB252" s="5"/>
      <c r="AC252" s="5"/>
      <c r="AD252" s="5"/>
      <c r="AE252" s="5"/>
      <c r="AF252" s="6"/>
      <c r="AG252" s="6"/>
      <c r="AH252" s="6"/>
      <c r="AI252" s="5"/>
      <c r="AJ252" s="5"/>
    </row>
    <row r="253" ht="79.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6"/>
      <c r="Q253" s="5"/>
      <c r="R253" s="5"/>
      <c r="S253" s="5"/>
      <c r="T253" s="5"/>
      <c r="U253" s="5"/>
      <c r="V253" s="5"/>
      <c r="W253" s="5"/>
      <c r="X253" s="5"/>
      <c r="Y253" s="6"/>
      <c r="Z253" s="5"/>
      <c r="AA253" s="5"/>
      <c r="AB253" s="5"/>
      <c r="AC253" s="5"/>
      <c r="AD253" s="5"/>
      <c r="AE253" s="5"/>
      <c r="AF253" s="6"/>
      <c r="AG253" s="6"/>
      <c r="AH253" s="6"/>
      <c r="AI253" s="5"/>
      <c r="AJ253" s="5"/>
    </row>
    <row r="254" ht="79.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6"/>
      <c r="Q254" s="5"/>
      <c r="R254" s="5"/>
      <c r="S254" s="5"/>
      <c r="T254" s="5"/>
      <c r="U254" s="5"/>
      <c r="V254" s="5"/>
      <c r="W254" s="5"/>
      <c r="X254" s="5"/>
      <c r="Y254" s="6"/>
      <c r="Z254" s="5"/>
      <c r="AA254" s="5"/>
      <c r="AB254" s="5"/>
      <c r="AC254" s="5"/>
      <c r="AD254" s="5"/>
      <c r="AE254" s="5"/>
      <c r="AF254" s="6"/>
      <c r="AG254" s="6"/>
      <c r="AH254" s="6"/>
      <c r="AI254" s="5"/>
      <c r="AJ254" s="5"/>
    </row>
    <row r="255" ht="79.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6"/>
      <c r="Q255" s="5"/>
      <c r="R255" s="5"/>
      <c r="S255" s="5"/>
      <c r="T255" s="5"/>
      <c r="U255" s="5"/>
      <c r="V255" s="5"/>
      <c r="W255" s="5"/>
      <c r="X255" s="5"/>
      <c r="Y255" s="6"/>
      <c r="Z255" s="5"/>
      <c r="AA255" s="5"/>
      <c r="AB255" s="5"/>
      <c r="AC255" s="5"/>
      <c r="AD255" s="5"/>
      <c r="AE255" s="5"/>
      <c r="AF255" s="6"/>
      <c r="AG255" s="6"/>
      <c r="AH255" s="6"/>
      <c r="AI255" s="5"/>
      <c r="AJ255" s="5"/>
    </row>
    <row r="256" ht="79.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6"/>
      <c r="Q256" s="5"/>
      <c r="R256" s="5"/>
      <c r="S256" s="5"/>
      <c r="T256" s="5"/>
      <c r="U256" s="5"/>
      <c r="V256" s="5"/>
      <c r="W256" s="5"/>
      <c r="X256" s="5"/>
      <c r="Y256" s="6"/>
      <c r="Z256" s="5"/>
      <c r="AA256" s="5"/>
      <c r="AB256" s="5"/>
      <c r="AC256" s="5"/>
      <c r="AD256" s="5"/>
      <c r="AE256" s="5"/>
      <c r="AF256" s="6"/>
      <c r="AG256" s="6"/>
      <c r="AH256" s="6"/>
      <c r="AI256" s="5"/>
      <c r="AJ256" s="5"/>
    </row>
    <row r="257" ht="79.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6"/>
      <c r="Q257" s="5"/>
      <c r="R257" s="5"/>
      <c r="S257" s="5"/>
      <c r="T257" s="5"/>
      <c r="U257" s="5"/>
      <c r="V257" s="5"/>
      <c r="W257" s="5"/>
      <c r="X257" s="5"/>
      <c r="Y257" s="6"/>
      <c r="Z257" s="5"/>
      <c r="AA257" s="5"/>
      <c r="AB257" s="5"/>
      <c r="AC257" s="5"/>
      <c r="AD257" s="5"/>
      <c r="AE257" s="5"/>
      <c r="AF257" s="6"/>
      <c r="AG257" s="6"/>
      <c r="AH257" s="6"/>
      <c r="AI257" s="5"/>
      <c r="AJ257" s="5"/>
    </row>
    <row r="258" ht="79.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6"/>
      <c r="Q258" s="5"/>
      <c r="R258" s="5"/>
      <c r="S258" s="5"/>
      <c r="T258" s="5"/>
      <c r="U258" s="5"/>
      <c r="V258" s="5"/>
      <c r="W258" s="5"/>
      <c r="X258" s="5"/>
      <c r="Y258" s="6"/>
      <c r="Z258" s="5"/>
      <c r="AA258" s="5"/>
      <c r="AB258" s="5"/>
      <c r="AC258" s="5"/>
      <c r="AD258" s="5"/>
      <c r="AE258" s="5"/>
      <c r="AF258" s="6"/>
      <c r="AG258" s="6"/>
      <c r="AH258" s="6"/>
      <c r="AI258" s="5"/>
      <c r="AJ258" s="5"/>
    </row>
    <row r="259" ht="79.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6"/>
      <c r="Q259" s="5"/>
      <c r="R259" s="5"/>
      <c r="S259" s="5"/>
      <c r="T259" s="5"/>
      <c r="U259" s="5"/>
      <c r="V259" s="5"/>
      <c r="W259" s="5"/>
      <c r="X259" s="5"/>
      <c r="Y259" s="6"/>
      <c r="Z259" s="5"/>
      <c r="AA259" s="5"/>
      <c r="AB259" s="5"/>
      <c r="AC259" s="5"/>
      <c r="AD259" s="5"/>
      <c r="AE259" s="5"/>
      <c r="AF259" s="6"/>
      <c r="AG259" s="6"/>
      <c r="AH259" s="6"/>
      <c r="AI259" s="5"/>
      <c r="AJ259" s="5"/>
    </row>
    <row r="260" ht="79.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6"/>
      <c r="Q260" s="5"/>
      <c r="R260" s="5"/>
      <c r="S260" s="5"/>
      <c r="T260" s="5"/>
      <c r="U260" s="5"/>
      <c r="V260" s="5"/>
      <c r="W260" s="5"/>
      <c r="X260" s="5"/>
      <c r="Y260" s="6"/>
      <c r="Z260" s="5"/>
      <c r="AA260" s="5"/>
      <c r="AB260" s="5"/>
      <c r="AC260" s="5"/>
      <c r="AD260" s="5"/>
      <c r="AE260" s="5"/>
      <c r="AF260" s="6"/>
      <c r="AG260" s="6"/>
      <c r="AH260" s="6"/>
      <c r="AI260" s="5"/>
      <c r="AJ260" s="5"/>
    </row>
    <row r="261" ht="79.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6"/>
      <c r="Q261" s="5"/>
      <c r="R261" s="5"/>
      <c r="S261" s="5"/>
      <c r="T261" s="5"/>
      <c r="U261" s="5"/>
      <c r="V261" s="5"/>
      <c r="W261" s="5"/>
      <c r="X261" s="5"/>
      <c r="Y261" s="6"/>
      <c r="Z261" s="5"/>
      <c r="AA261" s="5"/>
      <c r="AB261" s="5"/>
      <c r="AC261" s="5"/>
      <c r="AD261" s="5"/>
      <c r="AE261" s="5"/>
      <c r="AF261" s="6"/>
      <c r="AG261" s="6"/>
      <c r="AH261" s="6"/>
      <c r="AI261" s="5"/>
      <c r="AJ261" s="5"/>
    </row>
    <row r="262" ht="79.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6"/>
      <c r="Q262" s="5"/>
      <c r="R262" s="5"/>
      <c r="S262" s="5"/>
      <c r="T262" s="5"/>
      <c r="U262" s="5"/>
      <c r="V262" s="5"/>
      <c r="W262" s="5"/>
      <c r="X262" s="5"/>
      <c r="Y262" s="6"/>
      <c r="Z262" s="5"/>
      <c r="AA262" s="5"/>
      <c r="AB262" s="5"/>
      <c r="AC262" s="5"/>
      <c r="AD262" s="5"/>
      <c r="AE262" s="5"/>
      <c r="AF262" s="6"/>
      <c r="AG262" s="6"/>
      <c r="AH262" s="6"/>
      <c r="AI262" s="5"/>
      <c r="AJ262" s="5"/>
    </row>
    <row r="263" ht="79.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6"/>
      <c r="Q263" s="5"/>
      <c r="R263" s="5"/>
      <c r="S263" s="5"/>
      <c r="T263" s="5"/>
      <c r="U263" s="5"/>
      <c r="V263" s="5"/>
      <c r="W263" s="5"/>
      <c r="X263" s="5"/>
      <c r="Y263" s="6"/>
      <c r="Z263" s="5"/>
      <c r="AA263" s="5"/>
      <c r="AB263" s="5"/>
      <c r="AC263" s="5"/>
      <c r="AD263" s="5"/>
      <c r="AE263" s="5"/>
      <c r="AF263" s="6"/>
      <c r="AG263" s="6"/>
      <c r="AH263" s="6"/>
      <c r="AI263" s="5"/>
      <c r="AJ263" s="5"/>
    </row>
    <row r="264" ht="79.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6"/>
      <c r="Q264" s="5"/>
      <c r="R264" s="5"/>
      <c r="S264" s="5"/>
      <c r="T264" s="5"/>
      <c r="U264" s="5"/>
      <c r="V264" s="5"/>
      <c r="W264" s="5"/>
      <c r="X264" s="5"/>
      <c r="Y264" s="6"/>
      <c r="Z264" s="5"/>
      <c r="AA264" s="5"/>
      <c r="AB264" s="5"/>
      <c r="AC264" s="5"/>
      <c r="AD264" s="5"/>
      <c r="AE264" s="5"/>
      <c r="AF264" s="6"/>
      <c r="AG264" s="6"/>
      <c r="AH264" s="6"/>
      <c r="AI264" s="5"/>
      <c r="AJ264" s="5"/>
    </row>
    <row r="265" ht="79.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6"/>
      <c r="Q265" s="5"/>
      <c r="R265" s="5"/>
      <c r="S265" s="5"/>
      <c r="T265" s="5"/>
      <c r="U265" s="5"/>
      <c r="V265" s="5"/>
      <c r="W265" s="5"/>
      <c r="X265" s="5"/>
      <c r="Y265" s="6"/>
      <c r="Z265" s="5"/>
      <c r="AA265" s="5"/>
      <c r="AB265" s="5"/>
      <c r="AC265" s="5"/>
      <c r="AD265" s="5"/>
      <c r="AE265" s="5"/>
      <c r="AF265" s="6"/>
      <c r="AG265" s="6"/>
      <c r="AH265" s="6"/>
      <c r="AI265" s="5"/>
      <c r="AJ265" s="5"/>
    </row>
    <row r="266" ht="79.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6"/>
      <c r="Q266" s="5"/>
      <c r="R266" s="5"/>
      <c r="S266" s="5"/>
      <c r="T266" s="5"/>
      <c r="U266" s="5"/>
      <c r="V266" s="5"/>
      <c r="W266" s="5"/>
      <c r="X266" s="5"/>
      <c r="Y266" s="6"/>
      <c r="Z266" s="5"/>
      <c r="AA266" s="5"/>
      <c r="AB266" s="5"/>
      <c r="AC266" s="5"/>
      <c r="AD266" s="5"/>
      <c r="AE266" s="5"/>
      <c r="AF266" s="6"/>
      <c r="AG266" s="6"/>
      <c r="AH266" s="6"/>
      <c r="AI266" s="5"/>
      <c r="AJ266" s="5"/>
    </row>
    <row r="267" ht="79.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6"/>
      <c r="Q267" s="5"/>
      <c r="R267" s="5"/>
      <c r="S267" s="5"/>
      <c r="T267" s="5"/>
      <c r="U267" s="5"/>
      <c r="V267" s="5"/>
      <c r="W267" s="5"/>
      <c r="X267" s="5"/>
      <c r="Y267" s="6"/>
      <c r="Z267" s="5"/>
      <c r="AA267" s="5"/>
      <c r="AB267" s="5"/>
      <c r="AC267" s="5"/>
      <c r="AD267" s="5"/>
      <c r="AE267" s="5"/>
      <c r="AF267" s="6"/>
      <c r="AG267" s="6"/>
      <c r="AH267" s="6"/>
      <c r="AI267" s="5"/>
      <c r="AJ267" s="5"/>
    </row>
    <row r="268" ht="79.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6"/>
      <c r="Q268" s="5"/>
      <c r="R268" s="5"/>
      <c r="S268" s="5"/>
      <c r="T268" s="5"/>
      <c r="U268" s="5"/>
      <c r="V268" s="5"/>
      <c r="W268" s="5"/>
      <c r="X268" s="5"/>
      <c r="Y268" s="6"/>
      <c r="Z268" s="5"/>
      <c r="AA268" s="5"/>
      <c r="AB268" s="5"/>
      <c r="AC268" s="5"/>
      <c r="AD268" s="5"/>
      <c r="AE268" s="5"/>
      <c r="AF268" s="6"/>
      <c r="AG268" s="6"/>
      <c r="AH268" s="6"/>
      <c r="AI268" s="5"/>
      <c r="AJ268" s="5"/>
    </row>
    <row r="269" ht="79.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6"/>
      <c r="Q269" s="5"/>
      <c r="R269" s="5"/>
      <c r="S269" s="5"/>
      <c r="T269" s="5"/>
      <c r="U269" s="5"/>
      <c r="V269" s="5"/>
      <c r="W269" s="5"/>
      <c r="X269" s="5"/>
      <c r="Y269" s="6"/>
      <c r="Z269" s="5"/>
      <c r="AA269" s="5"/>
      <c r="AB269" s="5"/>
      <c r="AC269" s="5"/>
      <c r="AD269" s="5"/>
      <c r="AE269" s="5"/>
      <c r="AF269" s="6"/>
      <c r="AG269" s="6"/>
      <c r="AH269" s="6"/>
      <c r="AI269" s="5"/>
      <c r="AJ269" s="5"/>
    </row>
    <row r="270" ht="79.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6"/>
      <c r="Q270" s="5"/>
      <c r="R270" s="5"/>
      <c r="S270" s="5"/>
      <c r="T270" s="5"/>
      <c r="U270" s="5"/>
      <c r="V270" s="5"/>
      <c r="W270" s="5"/>
      <c r="X270" s="5"/>
      <c r="Y270" s="6"/>
      <c r="Z270" s="5"/>
      <c r="AA270" s="5"/>
      <c r="AB270" s="5"/>
      <c r="AC270" s="5"/>
      <c r="AD270" s="5"/>
      <c r="AE270" s="5"/>
      <c r="AF270" s="6"/>
      <c r="AG270" s="6"/>
      <c r="AH270" s="6"/>
      <c r="AI270" s="5"/>
      <c r="AJ270" s="5"/>
    </row>
    <row r="271" ht="79.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6"/>
      <c r="Q271" s="5"/>
      <c r="R271" s="5"/>
      <c r="S271" s="5"/>
      <c r="T271" s="5"/>
      <c r="U271" s="5"/>
      <c r="V271" s="5"/>
      <c r="W271" s="5"/>
      <c r="X271" s="5"/>
      <c r="Y271" s="6"/>
      <c r="Z271" s="5"/>
      <c r="AA271" s="5"/>
      <c r="AB271" s="5"/>
      <c r="AC271" s="5"/>
      <c r="AD271" s="5"/>
      <c r="AE271" s="5"/>
      <c r="AF271" s="6"/>
      <c r="AG271" s="6"/>
      <c r="AH271" s="6"/>
      <c r="AI271" s="5"/>
      <c r="AJ271" s="5"/>
    </row>
    <row r="272" ht="79.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6"/>
      <c r="Q272" s="5"/>
      <c r="R272" s="5"/>
      <c r="S272" s="5"/>
      <c r="T272" s="5"/>
      <c r="U272" s="5"/>
      <c r="V272" s="5"/>
      <c r="W272" s="5"/>
      <c r="X272" s="5"/>
      <c r="Y272" s="6"/>
      <c r="Z272" s="5"/>
      <c r="AA272" s="5"/>
      <c r="AB272" s="5"/>
      <c r="AC272" s="5"/>
      <c r="AD272" s="5"/>
      <c r="AE272" s="5"/>
      <c r="AF272" s="6"/>
      <c r="AG272" s="6"/>
      <c r="AH272" s="6"/>
      <c r="AI272" s="5"/>
      <c r="AJ272" s="5"/>
    </row>
    <row r="273" ht="79.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6"/>
      <c r="Q273" s="5"/>
      <c r="R273" s="5"/>
      <c r="S273" s="5"/>
      <c r="T273" s="5"/>
      <c r="U273" s="5"/>
      <c r="V273" s="5"/>
      <c r="W273" s="5"/>
      <c r="X273" s="5"/>
      <c r="Y273" s="6"/>
      <c r="Z273" s="5"/>
      <c r="AA273" s="5"/>
      <c r="AB273" s="5"/>
      <c r="AC273" s="5"/>
      <c r="AD273" s="5"/>
      <c r="AE273" s="5"/>
      <c r="AF273" s="6"/>
      <c r="AG273" s="6"/>
      <c r="AH273" s="6"/>
      <c r="AI273" s="5"/>
      <c r="AJ273" s="5"/>
    </row>
    <row r="274" ht="79.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6"/>
      <c r="Q274" s="5"/>
      <c r="R274" s="5"/>
      <c r="S274" s="5"/>
      <c r="T274" s="5"/>
      <c r="U274" s="5"/>
      <c r="V274" s="5"/>
      <c r="W274" s="5"/>
      <c r="X274" s="5"/>
      <c r="Y274" s="6"/>
      <c r="Z274" s="5"/>
      <c r="AA274" s="5"/>
      <c r="AB274" s="5"/>
      <c r="AC274" s="5"/>
      <c r="AD274" s="5"/>
      <c r="AE274" s="5"/>
      <c r="AF274" s="6"/>
      <c r="AG274" s="6"/>
      <c r="AH274" s="6"/>
      <c r="AI274" s="5"/>
      <c r="AJ274" s="5"/>
    </row>
    <row r="275" ht="79.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6"/>
      <c r="Q275" s="5"/>
      <c r="R275" s="5"/>
      <c r="S275" s="5"/>
      <c r="T275" s="5"/>
      <c r="U275" s="5"/>
      <c r="V275" s="5"/>
      <c r="W275" s="5"/>
      <c r="X275" s="5"/>
      <c r="Y275" s="6"/>
      <c r="Z275" s="5"/>
      <c r="AA275" s="5"/>
      <c r="AB275" s="5"/>
      <c r="AC275" s="5"/>
      <c r="AD275" s="5"/>
      <c r="AE275" s="5"/>
      <c r="AF275" s="6"/>
      <c r="AG275" s="6"/>
      <c r="AH275" s="6"/>
      <c r="AI275" s="5"/>
      <c r="AJ275" s="5"/>
    </row>
    <row r="276" ht="79.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6"/>
      <c r="Q276" s="5"/>
      <c r="R276" s="5"/>
      <c r="S276" s="5"/>
      <c r="T276" s="5"/>
      <c r="U276" s="5"/>
      <c r="V276" s="5"/>
      <c r="W276" s="5"/>
      <c r="X276" s="5"/>
      <c r="Y276" s="6"/>
      <c r="Z276" s="5"/>
      <c r="AA276" s="5"/>
      <c r="AB276" s="5"/>
      <c r="AC276" s="5"/>
      <c r="AD276" s="5"/>
      <c r="AE276" s="5"/>
      <c r="AF276" s="6"/>
      <c r="AG276" s="6"/>
      <c r="AH276" s="6"/>
      <c r="AI276" s="5"/>
      <c r="AJ276" s="5"/>
    </row>
    <row r="277" ht="79.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6"/>
      <c r="Q277" s="5"/>
      <c r="R277" s="5"/>
      <c r="S277" s="5"/>
      <c r="T277" s="5"/>
      <c r="U277" s="5"/>
      <c r="V277" s="5"/>
      <c r="W277" s="5"/>
      <c r="X277" s="5"/>
      <c r="Y277" s="6"/>
      <c r="Z277" s="5"/>
      <c r="AA277" s="5"/>
      <c r="AB277" s="5"/>
      <c r="AC277" s="5"/>
      <c r="AD277" s="5"/>
      <c r="AE277" s="5"/>
      <c r="AF277" s="6"/>
      <c r="AG277" s="6"/>
      <c r="AH277" s="6"/>
      <c r="AI277" s="5"/>
      <c r="AJ277" s="5"/>
    </row>
    <row r="278" ht="79.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6"/>
      <c r="Q278" s="5"/>
      <c r="R278" s="5"/>
      <c r="S278" s="5"/>
      <c r="T278" s="5"/>
      <c r="U278" s="5"/>
      <c r="V278" s="5"/>
      <c r="W278" s="5"/>
      <c r="X278" s="5"/>
      <c r="Y278" s="6"/>
      <c r="Z278" s="5"/>
      <c r="AA278" s="5"/>
      <c r="AB278" s="5"/>
      <c r="AC278" s="5"/>
      <c r="AD278" s="5"/>
      <c r="AE278" s="5"/>
      <c r="AF278" s="6"/>
      <c r="AG278" s="6"/>
      <c r="AH278" s="6"/>
      <c r="AI278" s="5"/>
      <c r="AJ278" s="5"/>
    </row>
    <row r="279" ht="79.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6"/>
      <c r="Q279" s="5"/>
      <c r="R279" s="5"/>
      <c r="S279" s="5"/>
      <c r="T279" s="5"/>
      <c r="U279" s="5"/>
      <c r="V279" s="5"/>
      <c r="W279" s="5"/>
      <c r="X279" s="5"/>
      <c r="Y279" s="6"/>
      <c r="Z279" s="5"/>
      <c r="AA279" s="5"/>
      <c r="AB279" s="5"/>
      <c r="AC279" s="5"/>
      <c r="AD279" s="5"/>
      <c r="AE279" s="5"/>
      <c r="AF279" s="6"/>
      <c r="AG279" s="6"/>
      <c r="AH279" s="6"/>
      <c r="AI279" s="5"/>
      <c r="AJ279" s="5"/>
    </row>
    <row r="280" ht="79.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6"/>
      <c r="Q280" s="5"/>
      <c r="R280" s="5"/>
      <c r="S280" s="5"/>
      <c r="T280" s="5"/>
      <c r="U280" s="5"/>
      <c r="V280" s="5"/>
      <c r="W280" s="5"/>
      <c r="X280" s="5"/>
      <c r="Y280" s="6"/>
      <c r="Z280" s="5"/>
      <c r="AA280" s="5"/>
      <c r="AB280" s="5"/>
      <c r="AC280" s="5"/>
      <c r="AD280" s="5"/>
      <c r="AE280" s="5"/>
      <c r="AF280" s="6"/>
      <c r="AG280" s="6"/>
      <c r="AH280" s="6"/>
      <c r="AI280" s="5"/>
      <c r="AJ280" s="5"/>
    </row>
    <row r="281" ht="79.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6"/>
      <c r="Q281" s="5"/>
      <c r="R281" s="5"/>
      <c r="S281" s="5"/>
      <c r="T281" s="5"/>
      <c r="U281" s="5"/>
      <c r="V281" s="5"/>
      <c r="W281" s="5"/>
      <c r="X281" s="5"/>
      <c r="Y281" s="6"/>
      <c r="Z281" s="5"/>
      <c r="AA281" s="5"/>
      <c r="AB281" s="5"/>
      <c r="AC281" s="5"/>
      <c r="AD281" s="5"/>
      <c r="AE281" s="5"/>
      <c r="AF281" s="6"/>
      <c r="AG281" s="6"/>
      <c r="AH281" s="6"/>
      <c r="AI281" s="5"/>
      <c r="AJ281" s="5"/>
    </row>
    <row r="282" ht="79.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6"/>
      <c r="Q282" s="5"/>
      <c r="R282" s="5"/>
      <c r="S282" s="5"/>
      <c r="T282" s="5"/>
      <c r="U282" s="5"/>
      <c r="V282" s="5"/>
      <c r="W282" s="5"/>
      <c r="X282" s="5"/>
      <c r="Y282" s="6"/>
      <c r="Z282" s="5"/>
      <c r="AA282" s="5"/>
      <c r="AB282" s="5"/>
      <c r="AC282" s="5"/>
      <c r="AD282" s="5"/>
      <c r="AE282" s="5"/>
      <c r="AF282" s="6"/>
      <c r="AG282" s="6"/>
      <c r="AH282" s="6"/>
      <c r="AI282" s="5"/>
      <c r="AJ282" s="5"/>
    </row>
    <row r="283" ht="79.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6"/>
      <c r="Q283" s="5"/>
      <c r="R283" s="5"/>
      <c r="S283" s="5"/>
      <c r="T283" s="5"/>
      <c r="U283" s="5"/>
      <c r="V283" s="5"/>
      <c r="W283" s="5"/>
      <c r="X283" s="5"/>
      <c r="Y283" s="6"/>
      <c r="Z283" s="5"/>
      <c r="AA283" s="5"/>
      <c r="AB283" s="5"/>
      <c r="AC283" s="5"/>
      <c r="AD283" s="5"/>
      <c r="AE283" s="5"/>
      <c r="AF283" s="6"/>
      <c r="AG283" s="6"/>
      <c r="AH283" s="6"/>
      <c r="AI283" s="5"/>
      <c r="AJ283" s="5"/>
    </row>
    <row r="284" ht="79.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6"/>
      <c r="Q284" s="5"/>
      <c r="R284" s="5"/>
      <c r="S284" s="5"/>
      <c r="T284" s="5"/>
      <c r="U284" s="5"/>
      <c r="V284" s="5"/>
      <c r="W284" s="5"/>
      <c r="X284" s="5"/>
      <c r="Y284" s="6"/>
      <c r="Z284" s="5"/>
      <c r="AA284" s="5"/>
      <c r="AB284" s="5"/>
      <c r="AC284" s="5"/>
      <c r="AD284" s="5"/>
      <c r="AE284" s="5"/>
      <c r="AF284" s="6"/>
      <c r="AG284" s="6"/>
      <c r="AH284" s="6"/>
      <c r="AI284" s="5"/>
      <c r="AJ284" s="5"/>
    </row>
    <row r="285" ht="79.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6"/>
      <c r="Q285" s="5"/>
      <c r="R285" s="5"/>
      <c r="S285" s="5"/>
      <c r="T285" s="5"/>
      <c r="U285" s="5"/>
      <c r="V285" s="5"/>
      <c r="W285" s="5"/>
      <c r="X285" s="5"/>
      <c r="Y285" s="6"/>
      <c r="Z285" s="5"/>
      <c r="AA285" s="5"/>
      <c r="AB285" s="5"/>
      <c r="AC285" s="5"/>
      <c r="AD285" s="5"/>
      <c r="AE285" s="5"/>
      <c r="AF285" s="6"/>
      <c r="AG285" s="6"/>
      <c r="AH285" s="6"/>
      <c r="AI285" s="5"/>
      <c r="AJ285" s="5"/>
    </row>
    <row r="286" ht="79.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6"/>
      <c r="Q286" s="5"/>
      <c r="R286" s="5"/>
      <c r="S286" s="5"/>
      <c r="T286" s="5"/>
      <c r="U286" s="5"/>
      <c r="V286" s="5"/>
      <c r="W286" s="5"/>
      <c r="X286" s="5"/>
      <c r="Y286" s="6"/>
      <c r="Z286" s="5"/>
      <c r="AA286" s="5"/>
      <c r="AB286" s="5"/>
      <c r="AC286" s="5"/>
      <c r="AD286" s="5"/>
      <c r="AE286" s="5"/>
      <c r="AF286" s="6"/>
      <c r="AG286" s="6"/>
      <c r="AH286" s="6"/>
      <c r="AI286" s="5"/>
      <c r="AJ286" s="5"/>
    </row>
    <row r="287" ht="79.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6"/>
      <c r="Q287" s="5"/>
      <c r="R287" s="5"/>
      <c r="S287" s="5"/>
      <c r="T287" s="5"/>
      <c r="U287" s="5"/>
      <c r="V287" s="5"/>
      <c r="W287" s="5"/>
      <c r="X287" s="5"/>
      <c r="Y287" s="6"/>
      <c r="Z287" s="5"/>
      <c r="AA287" s="5"/>
      <c r="AB287" s="5"/>
      <c r="AC287" s="5"/>
      <c r="AD287" s="5"/>
      <c r="AE287" s="5"/>
      <c r="AF287" s="6"/>
      <c r="AG287" s="6"/>
      <c r="AH287" s="6"/>
      <c r="AI287" s="5"/>
      <c r="AJ287" s="5"/>
    </row>
    <row r="288" ht="79.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6"/>
      <c r="Q288" s="5"/>
      <c r="R288" s="5"/>
      <c r="S288" s="5"/>
      <c r="T288" s="5"/>
      <c r="U288" s="5"/>
      <c r="V288" s="5"/>
      <c r="W288" s="5"/>
      <c r="X288" s="5"/>
      <c r="Y288" s="6"/>
      <c r="Z288" s="5"/>
      <c r="AA288" s="5"/>
      <c r="AB288" s="5"/>
      <c r="AC288" s="5"/>
      <c r="AD288" s="5"/>
      <c r="AE288" s="5"/>
      <c r="AF288" s="6"/>
      <c r="AG288" s="6"/>
      <c r="AH288" s="6"/>
      <c r="AI288" s="5"/>
      <c r="AJ288" s="5"/>
    </row>
    <row r="289" ht="79.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6"/>
      <c r="Q289" s="5"/>
      <c r="R289" s="5"/>
      <c r="S289" s="5"/>
      <c r="T289" s="5"/>
      <c r="U289" s="5"/>
      <c r="V289" s="5"/>
      <c r="W289" s="5"/>
      <c r="X289" s="5"/>
      <c r="Y289" s="6"/>
      <c r="Z289" s="5"/>
      <c r="AA289" s="5"/>
      <c r="AB289" s="5"/>
      <c r="AC289" s="5"/>
      <c r="AD289" s="5"/>
      <c r="AE289" s="5"/>
      <c r="AF289" s="6"/>
      <c r="AG289" s="6"/>
      <c r="AH289" s="6"/>
      <c r="AI289" s="5"/>
      <c r="AJ289" s="5"/>
    </row>
    <row r="290" ht="79.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6"/>
      <c r="Q290" s="5"/>
      <c r="R290" s="5"/>
      <c r="S290" s="5"/>
      <c r="T290" s="5"/>
      <c r="U290" s="5"/>
      <c r="V290" s="5"/>
      <c r="W290" s="5"/>
      <c r="X290" s="5"/>
      <c r="Y290" s="6"/>
      <c r="Z290" s="5"/>
      <c r="AA290" s="5"/>
      <c r="AB290" s="5"/>
      <c r="AC290" s="5"/>
      <c r="AD290" s="5"/>
      <c r="AE290" s="5"/>
      <c r="AF290" s="6"/>
      <c r="AG290" s="6"/>
      <c r="AH290" s="6"/>
      <c r="AI290" s="5"/>
      <c r="AJ290" s="5"/>
    </row>
    <row r="291" ht="79.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6"/>
      <c r="Q291" s="5"/>
      <c r="R291" s="5"/>
      <c r="S291" s="5"/>
      <c r="T291" s="5"/>
      <c r="U291" s="5"/>
      <c r="V291" s="5"/>
      <c r="W291" s="5"/>
      <c r="X291" s="5"/>
      <c r="Y291" s="6"/>
      <c r="Z291" s="5"/>
      <c r="AA291" s="5"/>
      <c r="AB291" s="5"/>
      <c r="AC291" s="5"/>
      <c r="AD291" s="5"/>
      <c r="AE291" s="5"/>
      <c r="AF291" s="6"/>
      <c r="AG291" s="6"/>
      <c r="AH291" s="6"/>
      <c r="AI291" s="5"/>
      <c r="AJ291" s="5"/>
    </row>
    <row r="292" ht="79.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6"/>
      <c r="Q292" s="5"/>
      <c r="R292" s="5"/>
      <c r="S292" s="5"/>
      <c r="T292" s="5"/>
      <c r="U292" s="5"/>
      <c r="V292" s="5"/>
      <c r="W292" s="5"/>
      <c r="X292" s="5"/>
      <c r="Y292" s="6"/>
      <c r="Z292" s="5"/>
      <c r="AA292" s="5"/>
      <c r="AB292" s="5"/>
      <c r="AC292" s="5"/>
      <c r="AD292" s="5"/>
      <c r="AE292" s="5"/>
      <c r="AF292" s="6"/>
      <c r="AG292" s="6"/>
      <c r="AH292" s="6"/>
      <c r="AI292" s="5"/>
      <c r="AJ292" s="5"/>
    </row>
    <row r="293" ht="79.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6"/>
      <c r="Q293" s="5"/>
      <c r="R293" s="5"/>
      <c r="S293" s="5"/>
      <c r="T293" s="5"/>
      <c r="U293" s="5"/>
      <c r="V293" s="5"/>
      <c r="W293" s="5"/>
      <c r="X293" s="5"/>
      <c r="Y293" s="6"/>
      <c r="Z293" s="5"/>
      <c r="AA293" s="5"/>
      <c r="AB293" s="5"/>
      <c r="AC293" s="5"/>
      <c r="AD293" s="5"/>
      <c r="AE293" s="5"/>
      <c r="AF293" s="6"/>
      <c r="AG293" s="6"/>
      <c r="AH293" s="6"/>
      <c r="AI293" s="5"/>
      <c r="AJ293" s="5"/>
    </row>
    <row r="294" ht="79.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6"/>
      <c r="Q294" s="5"/>
      <c r="R294" s="5"/>
      <c r="S294" s="5"/>
      <c r="T294" s="5"/>
      <c r="U294" s="5"/>
      <c r="V294" s="5"/>
      <c r="W294" s="5"/>
      <c r="X294" s="5"/>
      <c r="Y294" s="6"/>
      <c r="Z294" s="5"/>
      <c r="AA294" s="5"/>
      <c r="AB294" s="5"/>
      <c r="AC294" s="5"/>
      <c r="AD294" s="5"/>
      <c r="AE294" s="5"/>
      <c r="AF294" s="6"/>
      <c r="AG294" s="6"/>
      <c r="AH294" s="6"/>
      <c r="AI294" s="5"/>
      <c r="AJ294" s="5"/>
    </row>
    <row r="295" ht="79.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6"/>
      <c r="Q295" s="5"/>
      <c r="R295" s="5"/>
      <c r="S295" s="5"/>
      <c r="T295" s="5"/>
      <c r="U295" s="5"/>
      <c r="V295" s="5"/>
      <c r="W295" s="5"/>
      <c r="X295" s="5"/>
      <c r="Y295" s="6"/>
      <c r="Z295" s="5"/>
      <c r="AA295" s="5"/>
      <c r="AB295" s="5"/>
      <c r="AC295" s="5"/>
      <c r="AD295" s="5"/>
      <c r="AE295" s="5"/>
      <c r="AF295" s="6"/>
      <c r="AG295" s="6"/>
      <c r="AH295" s="6"/>
      <c r="AI295" s="5"/>
      <c r="AJ295" s="5"/>
    </row>
    <row r="296" ht="79.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6"/>
      <c r="Q296" s="5"/>
      <c r="R296" s="5"/>
      <c r="S296" s="5"/>
      <c r="T296" s="5"/>
      <c r="U296" s="5"/>
      <c r="V296" s="5"/>
      <c r="W296" s="5"/>
      <c r="X296" s="5"/>
      <c r="Y296" s="6"/>
      <c r="Z296" s="5"/>
      <c r="AA296" s="5"/>
      <c r="AB296" s="5"/>
      <c r="AC296" s="5"/>
      <c r="AD296" s="5"/>
      <c r="AE296" s="5"/>
      <c r="AF296" s="6"/>
      <c r="AG296" s="6"/>
      <c r="AH296" s="6"/>
      <c r="AI296" s="5"/>
      <c r="AJ296" s="5"/>
    </row>
    <row r="297" ht="79.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6"/>
      <c r="Q297" s="5"/>
      <c r="R297" s="5"/>
      <c r="S297" s="5"/>
      <c r="T297" s="5"/>
      <c r="U297" s="5"/>
      <c r="V297" s="5"/>
      <c r="W297" s="5"/>
      <c r="X297" s="5"/>
      <c r="Y297" s="6"/>
      <c r="Z297" s="5"/>
      <c r="AA297" s="5"/>
      <c r="AB297" s="5"/>
      <c r="AC297" s="5"/>
      <c r="AD297" s="5"/>
      <c r="AE297" s="5"/>
      <c r="AF297" s="6"/>
      <c r="AG297" s="6"/>
      <c r="AH297" s="6"/>
      <c r="AI297" s="5"/>
      <c r="AJ297" s="5"/>
    </row>
    <row r="298" ht="79.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6"/>
      <c r="Q298" s="5"/>
      <c r="R298" s="5"/>
      <c r="S298" s="5"/>
      <c r="T298" s="5"/>
      <c r="U298" s="5"/>
      <c r="V298" s="5"/>
      <c r="W298" s="5"/>
      <c r="X298" s="5"/>
      <c r="Y298" s="6"/>
      <c r="Z298" s="5"/>
      <c r="AA298" s="5"/>
      <c r="AB298" s="5"/>
      <c r="AC298" s="5"/>
      <c r="AD298" s="5"/>
      <c r="AE298" s="5"/>
      <c r="AF298" s="6"/>
      <c r="AG298" s="6"/>
      <c r="AH298" s="6"/>
      <c r="AI298" s="5"/>
      <c r="AJ298" s="5"/>
    </row>
    <row r="299" ht="79.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6"/>
      <c r="Q299" s="5"/>
      <c r="R299" s="5"/>
      <c r="S299" s="5"/>
      <c r="T299" s="5"/>
      <c r="U299" s="5"/>
      <c r="V299" s="5"/>
      <c r="W299" s="5"/>
      <c r="X299" s="5"/>
      <c r="Y299" s="6"/>
      <c r="Z299" s="5"/>
      <c r="AA299" s="5"/>
      <c r="AB299" s="5"/>
      <c r="AC299" s="5"/>
      <c r="AD299" s="5"/>
      <c r="AE299" s="5"/>
      <c r="AF299" s="6"/>
      <c r="AG299" s="6"/>
      <c r="AH299" s="6"/>
      <c r="AI299" s="5"/>
      <c r="AJ299" s="5"/>
    </row>
    <row r="300" ht="79.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6"/>
      <c r="Q300" s="5"/>
      <c r="R300" s="5"/>
      <c r="S300" s="5"/>
      <c r="T300" s="5"/>
      <c r="U300" s="5"/>
      <c r="V300" s="5"/>
      <c r="W300" s="5"/>
      <c r="X300" s="5"/>
      <c r="Y300" s="6"/>
      <c r="Z300" s="5"/>
      <c r="AA300" s="5"/>
      <c r="AB300" s="5"/>
      <c r="AC300" s="5"/>
      <c r="AD300" s="5"/>
      <c r="AE300" s="5"/>
      <c r="AF300" s="6"/>
      <c r="AG300" s="6"/>
      <c r="AH300" s="6"/>
      <c r="AI300" s="5"/>
      <c r="AJ300" s="5"/>
    </row>
    <row r="301" ht="79.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6"/>
      <c r="Q301" s="5"/>
      <c r="R301" s="5"/>
      <c r="S301" s="5"/>
      <c r="T301" s="5"/>
      <c r="U301" s="5"/>
      <c r="V301" s="5"/>
      <c r="W301" s="5"/>
      <c r="X301" s="5"/>
      <c r="Y301" s="6"/>
      <c r="Z301" s="5"/>
      <c r="AA301" s="5"/>
      <c r="AB301" s="5"/>
      <c r="AC301" s="5"/>
      <c r="AD301" s="5"/>
      <c r="AE301" s="5"/>
      <c r="AF301" s="6"/>
      <c r="AG301" s="6"/>
      <c r="AH301" s="6"/>
      <c r="AI301" s="5"/>
      <c r="AJ301" s="5"/>
    </row>
    <row r="302" ht="79.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6"/>
      <c r="Q302" s="5"/>
      <c r="R302" s="5"/>
      <c r="S302" s="5"/>
      <c r="T302" s="5"/>
      <c r="U302" s="5"/>
      <c r="V302" s="5"/>
      <c r="W302" s="5"/>
      <c r="X302" s="5"/>
      <c r="Y302" s="6"/>
      <c r="Z302" s="5"/>
      <c r="AA302" s="5"/>
      <c r="AB302" s="5"/>
      <c r="AC302" s="5"/>
      <c r="AD302" s="5"/>
      <c r="AE302" s="5"/>
      <c r="AF302" s="6"/>
      <c r="AG302" s="6"/>
      <c r="AH302" s="6"/>
      <c r="AI302" s="5"/>
      <c r="AJ302" s="5"/>
    </row>
    <row r="303" ht="79.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6"/>
      <c r="Q303" s="5"/>
      <c r="R303" s="5"/>
      <c r="S303" s="5"/>
      <c r="T303" s="5"/>
      <c r="U303" s="5"/>
      <c r="V303" s="5"/>
      <c r="W303" s="5"/>
      <c r="X303" s="5"/>
      <c r="Y303" s="6"/>
      <c r="Z303" s="5"/>
      <c r="AA303" s="5"/>
      <c r="AB303" s="5"/>
      <c r="AC303" s="5"/>
      <c r="AD303" s="5"/>
      <c r="AE303" s="5"/>
      <c r="AF303" s="6"/>
      <c r="AG303" s="6"/>
      <c r="AH303" s="6"/>
      <c r="AI303" s="5"/>
      <c r="AJ303" s="5"/>
    </row>
    <row r="304" ht="79.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6"/>
      <c r="Q304" s="5"/>
      <c r="R304" s="5"/>
      <c r="S304" s="5"/>
      <c r="T304" s="5"/>
      <c r="U304" s="5"/>
      <c r="V304" s="5"/>
      <c r="W304" s="5"/>
      <c r="X304" s="5"/>
      <c r="Y304" s="6"/>
      <c r="Z304" s="5"/>
      <c r="AA304" s="5"/>
      <c r="AB304" s="5"/>
      <c r="AC304" s="5"/>
      <c r="AD304" s="5"/>
      <c r="AE304" s="5"/>
      <c r="AF304" s="6"/>
      <c r="AG304" s="6"/>
      <c r="AH304" s="6"/>
      <c r="AI304" s="5"/>
      <c r="AJ304" s="5"/>
    </row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480314960629921" footer="0.0" header="0.0" left="0.39" right="3.89" top="0.7480314960629921"/>
  <pageSetup paperSize="8" orientation="landscape"/>
  <drawing r:id="rId1"/>
</worksheet>
</file>